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klein2\Documents\Personal\eu4_achievements\"/>
    </mc:Choice>
  </mc:AlternateContent>
  <xr:revisionPtr revIDLastSave="0" documentId="13_ncr:1_{D4DCFC04-621C-4FDE-8693-2BD8753AD1B9}" xr6:coauthVersionLast="47" xr6:coauthVersionMax="47" xr10:uidLastSave="{00000000-0000-0000-0000-000000000000}"/>
  <bookViews>
    <workbookView xWindow="-120" yWindow="-120" windowWidth="29040" windowHeight="15720" tabRatio="783" xr2:uid="{198BA5B9-B19A-430E-889E-D7F965E5A24F}"/>
  </bookViews>
  <sheets>
    <sheet name="List" sheetId="2" r:id="rId1"/>
    <sheet name="Formable Countries" sheetId="27" r:id="rId2"/>
    <sheet name="Runs" sheetId="29" r:id="rId3"/>
    <sheet name="Run - Russia" sheetId="25" r:id="rId4"/>
    <sheet name="run - custom" sheetId="21" r:id="rId5"/>
    <sheet name="Calc" sheetId="5" r:id="rId6"/>
    <sheet name="Top 10 Hard" sheetId="4" r:id="rId7"/>
    <sheet name="Top 10 Freebies" sheetId="6" r:id="rId8"/>
  </sheets>
  <definedNames>
    <definedName name="_xlnm._FilterDatabase" localSheetId="0" hidden="1">List!$A$1:$Y$374</definedName>
    <definedName name="_xlnm._FilterDatabase" localSheetId="2" hidden="1">Runs!$A$1:$P$151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9" l="1"/>
  <c r="H2" i="29"/>
  <c r="I2" i="29"/>
  <c r="J2" i="29"/>
  <c r="K2" i="29"/>
  <c r="M2" i="29"/>
  <c r="O2" i="29"/>
  <c r="P2" i="29"/>
  <c r="H126" i="29"/>
  <c r="H100" i="29"/>
  <c r="H125" i="29"/>
  <c r="H149" i="29"/>
  <c r="H148" i="29"/>
  <c r="H124" i="29"/>
  <c r="H123" i="29"/>
  <c r="H122" i="29"/>
  <c r="H16" i="29"/>
  <c r="H121" i="29"/>
  <c r="H120" i="29"/>
  <c r="H119" i="29"/>
  <c r="H118" i="29"/>
  <c r="H117" i="29"/>
  <c r="H116" i="29"/>
  <c r="H115" i="29"/>
  <c r="H114" i="29"/>
  <c r="H141" i="29"/>
  <c r="H113" i="29"/>
  <c r="H112" i="29"/>
  <c r="H110" i="29"/>
  <c r="H68" i="29"/>
  <c r="H151" i="29"/>
  <c r="H150" i="29"/>
  <c r="H152" i="29"/>
  <c r="H147" i="29"/>
  <c r="H146" i="29"/>
  <c r="H145" i="29"/>
  <c r="H144" i="29"/>
  <c r="H143" i="29"/>
  <c r="H132" i="29"/>
  <c r="H131" i="29"/>
  <c r="H130" i="29"/>
  <c r="H111" i="29"/>
  <c r="H109" i="29"/>
  <c r="H108" i="29"/>
  <c r="H107" i="29"/>
  <c r="H106" i="29"/>
  <c r="H104" i="29"/>
  <c r="H105" i="29"/>
  <c r="H103" i="29"/>
  <c r="H102" i="29"/>
  <c r="H101" i="29"/>
  <c r="H31" i="29"/>
  <c r="H99" i="29"/>
  <c r="H129" i="29"/>
  <c r="H28" i="29"/>
  <c r="H98" i="29"/>
  <c r="H127" i="29"/>
  <c r="H137" i="29"/>
  <c r="H128" i="29"/>
  <c r="H140" i="29"/>
  <c r="H139" i="29"/>
  <c r="H97" i="29"/>
  <c r="H96" i="29"/>
  <c r="H95" i="29"/>
  <c r="H94" i="29"/>
  <c r="H93" i="29"/>
  <c r="H92" i="29"/>
  <c r="H91" i="29"/>
  <c r="H89" i="29"/>
  <c r="H90" i="29"/>
  <c r="H88" i="29"/>
  <c r="H86" i="29"/>
  <c r="H87" i="29"/>
  <c r="H85" i="29"/>
  <c r="H32" i="29"/>
  <c r="H84" i="29"/>
  <c r="H81" i="29"/>
  <c r="H136" i="29"/>
  <c r="H80" i="29"/>
  <c r="H62" i="29"/>
  <c r="H59" i="29"/>
  <c r="H58" i="29"/>
  <c r="H72" i="29"/>
  <c r="H83" i="29"/>
  <c r="H133" i="29"/>
  <c r="H82" i="29"/>
  <c r="H57" i="29"/>
  <c r="H56" i="29"/>
  <c r="H55" i="29"/>
  <c r="H54" i="29"/>
  <c r="H53" i="29"/>
  <c r="H79" i="29"/>
  <c r="H78" i="29"/>
  <c r="H49" i="29"/>
  <c r="H48" i="29"/>
  <c r="H29" i="29"/>
  <c r="H19" i="29"/>
  <c r="H77" i="29"/>
  <c r="H76" i="29"/>
  <c r="H47" i="29"/>
  <c r="H30" i="29"/>
  <c r="H75" i="29"/>
  <c r="H74" i="29"/>
  <c r="H73" i="29"/>
  <c r="H27" i="29"/>
  <c r="H52" i="29"/>
  <c r="H70" i="29"/>
  <c r="H69" i="29"/>
  <c r="H142" i="29"/>
  <c r="H67" i="29"/>
  <c r="H66" i="29"/>
  <c r="H65" i="29"/>
  <c r="H134" i="29"/>
  <c r="H64" i="29"/>
  <c r="H63" i="29"/>
  <c r="H39" i="29"/>
  <c r="H38" i="29"/>
  <c r="H46" i="29"/>
  <c r="H45" i="29"/>
  <c r="H44" i="29"/>
  <c r="H43" i="29"/>
  <c r="H26" i="29"/>
  <c r="H25" i="29"/>
  <c r="H51" i="29"/>
  <c r="H50" i="29"/>
  <c r="H37" i="29"/>
  <c r="H36" i="29"/>
  <c r="H35" i="29"/>
  <c r="H34" i="29"/>
  <c r="H33" i="29"/>
  <c r="H24" i="29"/>
  <c r="H23" i="29"/>
  <c r="H135" i="29"/>
  <c r="H22" i="29"/>
  <c r="H21" i="29"/>
  <c r="H20" i="29"/>
  <c r="H71" i="29"/>
  <c r="H61" i="29"/>
  <c r="H60" i="29"/>
  <c r="H138" i="29"/>
  <c r="H18" i="29"/>
  <c r="H17" i="29"/>
  <c r="H42" i="29"/>
  <c r="H41" i="29"/>
  <c r="H40" i="29"/>
  <c r="H15" i="29"/>
  <c r="H14" i="29"/>
  <c r="H13" i="29"/>
  <c r="H12" i="29"/>
  <c r="H11" i="29"/>
  <c r="H10" i="29"/>
  <c r="H9" i="29"/>
  <c r="H8" i="29"/>
  <c r="H7" i="29"/>
  <c r="H6" i="29"/>
  <c r="H5" i="29"/>
  <c r="H4" i="29"/>
  <c r="H3" i="29"/>
  <c r="P6" i="29"/>
  <c r="O6" i="29"/>
  <c r="M6" i="29"/>
  <c r="K6" i="29"/>
  <c r="J6" i="29"/>
  <c r="I6" i="29"/>
  <c r="P135" i="29"/>
  <c r="O135" i="29"/>
  <c r="M135" i="29"/>
  <c r="K135" i="29"/>
  <c r="J135" i="29"/>
  <c r="I135" i="29"/>
  <c r="P126" i="29"/>
  <c r="O126" i="29"/>
  <c r="M126" i="29"/>
  <c r="K126" i="29"/>
  <c r="J126" i="29"/>
  <c r="I126" i="29"/>
  <c r="P100" i="29"/>
  <c r="O100" i="29"/>
  <c r="M100" i="29"/>
  <c r="K100" i="29"/>
  <c r="J100" i="29"/>
  <c r="I100" i="29"/>
  <c r="P125" i="29"/>
  <c r="O125" i="29"/>
  <c r="M125" i="29"/>
  <c r="K125" i="29"/>
  <c r="J125" i="29"/>
  <c r="I125" i="29"/>
  <c r="P149" i="29"/>
  <c r="O149" i="29"/>
  <c r="M149" i="29"/>
  <c r="K149" i="29"/>
  <c r="J149" i="29"/>
  <c r="I149" i="29"/>
  <c r="P148" i="29"/>
  <c r="O148" i="29"/>
  <c r="M148" i="29"/>
  <c r="K148" i="29"/>
  <c r="J148" i="29"/>
  <c r="I148" i="29"/>
  <c r="P124" i="29"/>
  <c r="O124" i="29"/>
  <c r="M124" i="29"/>
  <c r="K124" i="29"/>
  <c r="J124" i="29"/>
  <c r="I124" i="29"/>
  <c r="P147" i="29"/>
  <c r="O147" i="29"/>
  <c r="M147" i="29"/>
  <c r="K147" i="29"/>
  <c r="J147" i="29"/>
  <c r="I147" i="29"/>
  <c r="P123" i="29"/>
  <c r="O123" i="29"/>
  <c r="M123" i="29"/>
  <c r="K123" i="29"/>
  <c r="J123" i="29"/>
  <c r="I123" i="29"/>
  <c r="P122" i="29"/>
  <c r="O122" i="29"/>
  <c r="M122" i="29"/>
  <c r="K122" i="29"/>
  <c r="J122" i="29"/>
  <c r="I122" i="29"/>
  <c r="P16" i="29"/>
  <c r="O16" i="29"/>
  <c r="M16" i="29"/>
  <c r="K16" i="29"/>
  <c r="J16" i="29"/>
  <c r="I16" i="29"/>
  <c r="P121" i="29"/>
  <c r="O121" i="29"/>
  <c r="M121" i="29"/>
  <c r="K121" i="29"/>
  <c r="J121" i="29"/>
  <c r="I121" i="29"/>
  <c r="P120" i="29"/>
  <c r="O120" i="29"/>
  <c r="M120" i="29"/>
  <c r="K120" i="29"/>
  <c r="J120" i="29"/>
  <c r="I120" i="29"/>
  <c r="P119" i="29"/>
  <c r="O119" i="29"/>
  <c r="M119" i="29"/>
  <c r="K119" i="29"/>
  <c r="J119" i="29"/>
  <c r="I119" i="29"/>
  <c r="P118" i="29"/>
  <c r="O118" i="29"/>
  <c r="M118" i="29"/>
  <c r="K118" i="29"/>
  <c r="J118" i="29"/>
  <c r="I118" i="29"/>
  <c r="P117" i="29"/>
  <c r="O117" i="29"/>
  <c r="M117" i="29"/>
  <c r="K117" i="29"/>
  <c r="J117" i="29"/>
  <c r="I117" i="29"/>
  <c r="P116" i="29"/>
  <c r="O116" i="29"/>
  <c r="M116" i="29"/>
  <c r="K116" i="29"/>
  <c r="J116" i="29"/>
  <c r="I116" i="29"/>
  <c r="P140" i="29"/>
  <c r="O140" i="29"/>
  <c r="M140" i="29"/>
  <c r="K140" i="29"/>
  <c r="J140" i="29"/>
  <c r="I140" i="29"/>
  <c r="P110" i="29"/>
  <c r="O110" i="29"/>
  <c r="M110" i="29"/>
  <c r="K110" i="29"/>
  <c r="J110" i="29"/>
  <c r="I110" i="29"/>
  <c r="I112" i="29"/>
  <c r="J112" i="29"/>
  <c r="K112" i="29"/>
  <c r="M112" i="29"/>
  <c r="O112" i="29"/>
  <c r="P112" i="29"/>
  <c r="I113" i="29"/>
  <c r="J113" i="29"/>
  <c r="K113" i="29"/>
  <c r="M113" i="29"/>
  <c r="O113" i="29"/>
  <c r="P113" i="29"/>
  <c r="I141" i="29"/>
  <c r="J141" i="29"/>
  <c r="K141" i="29"/>
  <c r="M141" i="29"/>
  <c r="O141" i="29"/>
  <c r="P141" i="29"/>
  <c r="I114" i="29"/>
  <c r="J114" i="29"/>
  <c r="K114" i="29"/>
  <c r="M114" i="29"/>
  <c r="O114" i="29"/>
  <c r="P114" i="29"/>
  <c r="I115" i="29"/>
  <c r="J115" i="29"/>
  <c r="K115" i="29"/>
  <c r="M115" i="29"/>
  <c r="O115" i="29"/>
  <c r="P115" i="29"/>
  <c r="P68" i="29"/>
  <c r="O68" i="29"/>
  <c r="M68" i="29"/>
  <c r="K68" i="29"/>
  <c r="J68" i="29"/>
  <c r="I68" i="29"/>
  <c r="P151" i="29"/>
  <c r="O151" i="29"/>
  <c r="M151" i="29"/>
  <c r="K151" i="29"/>
  <c r="J151" i="29"/>
  <c r="I151" i="29"/>
  <c r="P150" i="29"/>
  <c r="O150" i="29"/>
  <c r="M150" i="29"/>
  <c r="K150" i="29"/>
  <c r="J150" i="29"/>
  <c r="I150" i="29"/>
  <c r="P152" i="29"/>
  <c r="O152" i="29"/>
  <c r="M152" i="29"/>
  <c r="K152" i="29"/>
  <c r="J152" i="29"/>
  <c r="I152" i="29"/>
  <c r="P37" i="29"/>
  <c r="O37" i="29"/>
  <c r="M37" i="29"/>
  <c r="K37" i="29"/>
  <c r="J37" i="29"/>
  <c r="I37" i="29"/>
  <c r="P75" i="29"/>
  <c r="O75" i="29"/>
  <c r="M75" i="29"/>
  <c r="K75" i="29"/>
  <c r="J75" i="29"/>
  <c r="I75" i="29"/>
  <c r="P19" i="29"/>
  <c r="O19" i="29"/>
  <c r="M19" i="29"/>
  <c r="K19" i="29"/>
  <c r="J19" i="29"/>
  <c r="I19" i="29"/>
  <c r="P55" i="29"/>
  <c r="O55" i="29"/>
  <c r="M55" i="29"/>
  <c r="K55" i="29"/>
  <c r="J55" i="29"/>
  <c r="I55" i="29"/>
  <c r="P54" i="29"/>
  <c r="O54" i="29"/>
  <c r="M54" i="29"/>
  <c r="K54" i="29"/>
  <c r="J54" i="29"/>
  <c r="I54" i="29"/>
  <c r="P27" i="29"/>
  <c r="O27" i="29"/>
  <c r="M27" i="29"/>
  <c r="K27" i="29"/>
  <c r="J27" i="29"/>
  <c r="I27" i="29"/>
  <c r="P5" i="29"/>
  <c r="O5" i="29"/>
  <c r="M5" i="29"/>
  <c r="K5" i="29"/>
  <c r="J5" i="29"/>
  <c r="I5" i="29"/>
  <c r="P46" i="29"/>
  <c r="O46" i="29"/>
  <c r="M46" i="29"/>
  <c r="K46" i="29"/>
  <c r="J46" i="29"/>
  <c r="I46" i="29"/>
  <c r="P45" i="29"/>
  <c r="O45" i="29"/>
  <c r="M45" i="29"/>
  <c r="K45" i="29"/>
  <c r="J45" i="29"/>
  <c r="I45" i="29"/>
  <c r="P111" i="29"/>
  <c r="O111" i="29"/>
  <c r="M111" i="29"/>
  <c r="K111" i="29"/>
  <c r="J111" i="29"/>
  <c r="I111" i="29"/>
  <c r="P109" i="29"/>
  <c r="O109" i="29"/>
  <c r="M109" i="29"/>
  <c r="K109" i="29"/>
  <c r="J109" i="29"/>
  <c r="I109" i="29"/>
  <c r="P108" i="29"/>
  <c r="O108" i="29"/>
  <c r="M108" i="29"/>
  <c r="K108" i="29"/>
  <c r="J108" i="29"/>
  <c r="I108" i="29"/>
  <c r="P107" i="29"/>
  <c r="O107" i="29"/>
  <c r="M107" i="29"/>
  <c r="K107" i="29"/>
  <c r="J107" i="29"/>
  <c r="I107" i="29"/>
  <c r="P106" i="29"/>
  <c r="O106" i="29"/>
  <c r="M106" i="29"/>
  <c r="K106" i="29"/>
  <c r="J106" i="29"/>
  <c r="I106" i="29"/>
  <c r="P104" i="29"/>
  <c r="O104" i="29"/>
  <c r="M104" i="29"/>
  <c r="K104" i="29"/>
  <c r="J104" i="29"/>
  <c r="I104" i="29"/>
  <c r="P105" i="29"/>
  <c r="O105" i="29"/>
  <c r="M105" i="29"/>
  <c r="K105" i="29"/>
  <c r="J105" i="29"/>
  <c r="I105" i="29"/>
  <c r="P103" i="29"/>
  <c r="O103" i="29"/>
  <c r="M103" i="29"/>
  <c r="K103" i="29"/>
  <c r="J103" i="29"/>
  <c r="I103" i="29"/>
  <c r="P102" i="29"/>
  <c r="O102" i="29"/>
  <c r="M102" i="29"/>
  <c r="K102" i="29"/>
  <c r="J102" i="29"/>
  <c r="I102" i="29"/>
  <c r="P44" i="29"/>
  <c r="O44" i="29"/>
  <c r="M44" i="29"/>
  <c r="K44" i="29"/>
  <c r="J44" i="29"/>
  <c r="I44" i="29"/>
  <c r="P43" i="29"/>
  <c r="O43" i="29"/>
  <c r="M43" i="29"/>
  <c r="K43" i="29"/>
  <c r="J43" i="29"/>
  <c r="I43" i="29"/>
  <c r="P101" i="29"/>
  <c r="O101" i="29"/>
  <c r="M101" i="29"/>
  <c r="K101" i="29"/>
  <c r="J101" i="29"/>
  <c r="I101" i="29"/>
  <c r="P31" i="29"/>
  <c r="O31" i="29"/>
  <c r="M31" i="29"/>
  <c r="K31" i="29"/>
  <c r="J31" i="29"/>
  <c r="I31" i="29"/>
  <c r="P99" i="29"/>
  <c r="O99" i="29"/>
  <c r="M99" i="29"/>
  <c r="K99" i="29"/>
  <c r="J99" i="29"/>
  <c r="I99" i="29"/>
  <c r="P129" i="29"/>
  <c r="O129" i="29"/>
  <c r="M129" i="29"/>
  <c r="K129" i="29"/>
  <c r="J129" i="29"/>
  <c r="I129" i="29"/>
  <c r="P28" i="29"/>
  <c r="O28" i="29"/>
  <c r="M28" i="29"/>
  <c r="K28" i="29"/>
  <c r="J28" i="29"/>
  <c r="I28" i="29"/>
  <c r="P98" i="29"/>
  <c r="O98" i="29"/>
  <c r="M98" i="29"/>
  <c r="K98" i="29"/>
  <c r="J98" i="29"/>
  <c r="I98" i="29"/>
  <c r="P127" i="29"/>
  <c r="O127" i="29"/>
  <c r="M127" i="29"/>
  <c r="K127" i="29"/>
  <c r="J127" i="29"/>
  <c r="I127" i="29"/>
  <c r="P137" i="29"/>
  <c r="O137" i="29"/>
  <c r="M137" i="29"/>
  <c r="K137" i="29"/>
  <c r="J137" i="29"/>
  <c r="I137" i="29"/>
  <c r="P128" i="29"/>
  <c r="O128" i="29"/>
  <c r="M128" i="29"/>
  <c r="K128" i="29"/>
  <c r="J128" i="29"/>
  <c r="I128" i="29"/>
  <c r="P139" i="29"/>
  <c r="O139" i="29"/>
  <c r="M139" i="29"/>
  <c r="K139" i="29"/>
  <c r="J139" i="29"/>
  <c r="I139" i="29"/>
  <c r="P97" i="29"/>
  <c r="O97" i="29"/>
  <c r="M97" i="29"/>
  <c r="K97" i="29"/>
  <c r="J97" i="29"/>
  <c r="I97" i="29"/>
  <c r="P96" i="29"/>
  <c r="O96" i="29"/>
  <c r="M96" i="29"/>
  <c r="K96" i="29"/>
  <c r="J96" i="29"/>
  <c r="I96" i="29"/>
  <c r="P26" i="29"/>
  <c r="O26" i="29"/>
  <c r="M26" i="29"/>
  <c r="K26" i="29"/>
  <c r="J26" i="29"/>
  <c r="I26" i="29"/>
  <c r="P25" i="29"/>
  <c r="O25" i="29"/>
  <c r="M25" i="29"/>
  <c r="K25" i="29"/>
  <c r="J25" i="29"/>
  <c r="I25" i="29"/>
  <c r="P95" i="29"/>
  <c r="O95" i="29"/>
  <c r="M95" i="29"/>
  <c r="K95" i="29"/>
  <c r="J95" i="29"/>
  <c r="I95" i="29"/>
  <c r="P94" i="29"/>
  <c r="O94" i="29"/>
  <c r="M94" i="29"/>
  <c r="K94" i="29"/>
  <c r="J94" i="29"/>
  <c r="I94" i="29"/>
  <c r="P93" i="29"/>
  <c r="O93" i="29"/>
  <c r="M93" i="29"/>
  <c r="K93" i="29"/>
  <c r="J93" i="29"/>
  <c r="I93" i="29"/>
  <c r="P92" i="29"/>
  <c r="O92" i="29"/>
  <c r="M92" i="29"/>
  <c r="K92" i="29"/>
  <c r="J92" i="29"/>
  <c r="I92" i="29"/>
  <c r="P91" i="29"/>
  <c r="O91" i="29"/>
  <c r="M91" i="29"/>
  <c r="K91" i="29"/>
  <c r="J91" i="29"/>
  <c r="I91" i="29"/>
  <c r="P89" i="29"/>
  <c r="O89" i="29"/>
  <c r="M89" i="29"/>
  <c r="K89" i="29"/>
  <c r="J89" i="29"/>
  <c r="I89" i="29"/>
  <c r="P90" i="29"/>
  <c r="O90" i="29"/>
  <c r="M90" i="29"/>
  <c r="K90" i="29"/>
  <c r="J90" i="29"/>
  <c r="I90" i="29"/>
  <c r="P88" i="29"/>
  <c r="O88" i="29"/>
  <c r="M88" i="29"/>
  <c r="K88" i="29"/>
  <c r="J88" i="29"/>
  <c r="I88" i="29"/>
  <c r="P86" i="29"/>
  <c r="O86" i="29"/>
  <c r="M86" i="29"/>
  <c r="K86" i="29"/>
  <c r="J86" i="29"/>
  <c r="I86" i="29"/>
  <c r="P87" i="29"/>
  <c r="O87" i="29"/>
  <c r="M87" i="29"/>
  <c r="K87" i="29"/>
  <c r="J87" i="29"/>
  <c r="I87" i="29"/>
  <c r="P85" i="29"/>
  <c r="O85" i="29"/>
  <c r="M85" i="29"/>
  <c r="K85" i="29"/>
  <c r="J85" i="29"/>
  <c r="I85" i="29"/>
  <c r="P32" i="29"/>
  <c r="O32" i="29"/>
  <c r="M32" i="29"/>
  <c r="K32" i="29"/>
  <c r="J32" i="29"/>
  <c r="I32" i="29"/>
  <c r="P51" i="29"/>
  <c r="O51" i="29"/>
  <c r="M51" i="29"/>
  <c r="K51" i="29"/>
  <c r="J51" i="29"/>
  <c r="I51" i="29"/>
  <c r="P50" i="29"/>
  <c r="O50" i="29"/>
  <c r="M50" i="29"/>
  <c r="K50" i="29"/>
  <c r="J50" i="29"/>
  <c r="I50" i="29"/>
  <c r="P84" i="29"/>
  <c r="O84" i="29"/>
  <c r="M84" i="29"/>
  <c r="K84" i="29"/>
  <c r="J84" i="29"/>
  <c r="I84" i="29"/>
  <c r="P81" i="29"/>
  <c r="O81" i="29"/>
  <c r="M81" i="29"/>
  <c r="K81" i="29"/>
  <c r="J81" i="29"/>
  <c r="I81" i="29"/>
  <c r="P136" i="29"/>
  <c r="O136" i="29"/>
  <c r="M136" i="29"/>
  <c r="K136" i="29"/>
  <c r="J136" i="29"/>
  <c r="I136" i="29"/>
  <c r="P80" i="29"/>
  <c r="O80" i="29"/>
  <c r="M80" i="29"/>
  <c r="K80" i="29"/>
  <c r="J80" i="29"/>
  <c r="I80" i="29"/>
  <c r="P62" i="29"/>
  <c r="O62" i="29"/>
  <c r="M62" i="29"/>
  <c r="K62" i="29"/>
  <c r="J62" i="29"/>
  <c r="I62" i="29"/>
  <c r="P36" i="29"/>
  <c r="O36" i="29"/>
  <c r="M36" i="29"/>
  <c r="K36" i="29"/>
  <c r="J36" i="29"/>
  <c r="I36" i="29"/>
  <c r="P35" i="29"/>
  <c r="O35" i="29"/>
  <c r="M35" i="29"/>
  <c r="K35" i="29"/>
  <c r="J35" i="29"/>
  <c r="I35" i="29"/>
  <c r="P59" i="29"/>
  <c r="O59" i="29"/>
  <c r="M59" i="29"/>
  <c r="K59" i="29"/>
  <c r="J59" i="29"/>
  <c r="I59" i="29"/>
  <c r="P58" i="29"/>
  <c r="O58" i="29"/>
  <c r="M58" i="29"/>
  <c r="K58" i="29"/>
  <c r="J58" i="29"/>
  <c r="I58" i="29"/>
  <c r="P34" i="29"/>
  <c r="O34" i="29"/>
  <c r="M34" i="29"/>
  <c r="K34" i="29"/>
  <c r="J34" i="29"/>
  <c r="I34" i="29"/>
  <c r="P33" i="29"/>
  <c r="O33" i="29"/>
  <c r="M33" i="29"/>
  <c r="K33" i="29"/>
  <c r="J33" i="29"/>
  <c r="I33" i="29"/>
  <c r="P72" i="29"/>
  <c r="O72" i="29"/>
  <c r="M72" i="29"/>
  <c r="K72" i="29"/>
  <c r="J72" i="29"/>
  <c r="I72" i="29"/>
  <c r="P83" i="29"/>
  <c r="O83" i="29"/>
  <c r="M83" i="29"/>
  <c r="K83" i="29"/>
  <c r="J83" i="29"/>
  <c r="I83" i="29"/>
  <c r="P133" i="29"/>
  <c r="O133" i="29"/>
  <c r="M133" i="29"/>
  <c r="K133" i="29"/>
  <c r="J133" i="29"/>
  <c r="I133" i="29"/>
  <c r="P82" i="29"/>
  <c r="O82" i="29"/>
  <c r="M82" i="29"/>
  <c r="K82" i="29"/>
  <c r="J82" i="29"/>
  <c r="I82" i="29"/>
  <c r="P57" i="29"/>
  <c r="O57" i="29"/>
  <c r="M57" i="29"/>
  <c r="K57" i="29"/>
  <c r="J57" i="29"/>
  <c r="I57" i="29"/>
  <c r="P56" i="29"/>
  <c r="O56" i="29"/>
  <c r="M56" i="29"/>
  <c r="K56" i="29"/>
  <c r="J56" i="29"/>
  <c r="I56" i="29"/>
  <c r="P53" i="29"/>
  <c r="O53" i="29"/>
  <c r="M53" i="29"/>
  <c r="K53" i="29"/>
  <c r="J53" i="29"/>
  <c r="I53" i="29"/>
  <c r="P79" i="29"/>
  <c r="O79" i="29"/>
  <c r="M79" i="29"/>
  <c r="K79" i="29"/>
  <c r="J79" i="29"/>
  <c r="I79" i="29"/>
  <c r="P24" i="29"/>
  <c r="O24" i="29"/>
  <c r="M24" i="29"/>
  <c r="K24" i="29"/>
  <c r="J24" i="29"/>
  <c r="I24" i="29"/>
  <c r="P23" i="29"/>
  <c r="O23" i="29"/>
  <c r="M23" i="29"/>
  <c r="K23" i="29"/>
  <c r="J23" i="29"/>
  <c r="I23" i="29"/>
  <c r="P78" i="29"/>
  <c r="O78" i="29"/>
  <c r="M78" i="29"/>
  <c r="K78" i="29"/>
  <c r="J78" i="29"/>
  <c r="I78" i="29"/>
  <c r="P49" i="29"/>
  <c r="O49" i="29"/>
  <c r="M49" i="29"/>
  <c r="K49" i="29"/>
  <c r="J49" i="29"/>
  <c r="I49" i="29"/>
  <c r="P22" i="29"/>
  <c r="O22" i="29"/>
  <c r="M22" i="29"/>
  <c r="K22" i="29"/>
  <c r="J22" i="29"/>
  <c r="I22" i="29"/>
  <c r="P21" i="29"/>
  <c r="O21" i="29"/>
  <c r="M21" i="29"/>
  <c r="K21" i="29"/>
  <c r="J21" i="29"/>
  <c r="I21" i="29"/>
  <c r="P20" i="29"/>
  <c r="O20" i="29"/>
  <c r="M20" i="29"/>
  <c r="K20" i="29"/>
  <c r="J20" i="29"/>
  <c r="I20" i="29"/>
  <c r="P61" i="29"/>
  <c r="O61" i="29"/>
  <c r="M61" i="29"/>
  <c r="K61" i="29"/>
  <c r="J61" i="29"/>
  <c r="I61" i="29"/>
  <c r="P60" i="29"/>
  <c r="O60" i="29"/>
  <c r="M60" i="29"/>
  <c r="K60" i="29"/>
  <c r="J60" i="29"/>
  <c r="I60" i="29"/>
  <c r="P71" i="29"/>
  <c r="O71" i="29"/>
  <c r="M71" i="29"/>
  <c r="K71" i="29"/>
  <c r="J71" i="29"/>
  <c r="I71" i="29"/>
  <c r="P48" i="29"/>
  <c r="O48" i="29"/>
  <c r="M48" i="29"/>
  <c r="K48" i="29"/>
  <c r="J48" i="29"/>
  <c r="I48" i="29"/>
  <c r="P29" i="29"/>
  <c r="O29" i="29"/>
  <c r="M29" i="29"/>
  <c r="K29" i="29"/>
  <c r="J29" i="29"/>
  <c r="I29" i="29"/>
  <c r="P77" i="29"/>
  <c r="O77" i="29"/>
  <c r="M77" i="29"/>
  <c r="K77" i="29"/>
  <c r="J77" i="29"/>
  <c r="I77" i="29"/>
  <c r="P76" i="29"/>
  <c r="O76" i="29"/>
  <c r="M76" i="29"/>
  <c r="K76" i="29"/>
  <c r="J76" i="29"/>
  <c r="I76" i="29"/>
  <c r="Y374" i="2"/>
  <c r="Y373" i="2"/>
  <c r="Y372" i="2"/>
  <c r="Y371" i="2"/>
  <c r="Y370" i="2"/>
  <c r="Y369" i="2"/>
  <c r="Y368" i="2"/>
  <c r="Y367" i="2"/>
  <c r="Y366" i="2"/>
  <c r="Y365" i="2"/>
  <c r="Y364" i="2"/>
  <c r="Y363" i="2"/>
  <c r="Y362" i="2"/>
  <c r="Y361" i="2"/>
  <c r="Y360" i="2"/>
  <c r="Y359" i="2"/>
  <c r="Y358" i="2"/>
  <c r="Y357" i="2"/>
  <c r="Y356" i="2"/>
  <c r="Y355" i="2"/>
  <c r="Y354" i="2"/>
  <c r="Y353" i="2"/>
  <c r="Y352" i="2"/>
  <c r="Y351" i="2"/>
  <c r="Y350" i="2"/>
  <c r="Y349" i="2"/>
  <c r="Y348" i="2"/>
  <c r="Y347" i="2"/>
  <c r="Y346" i="2"/>
  <c r="Y345" i="2"/>
  <c r="Y344" i="2"/>
  <c r="Y343" i="2"/>
  <c r="Y342" i="2"/>
  <c r="Y341" i="2"/>
  <c r="Y340" i="2"/>
  <c r="Y339" i="2"/>
  <c r="Y338" i="2"/>
  <c r="Y337" i="2"/>
  <c r="Y336" i="2"/>
  <c r="Y335" i="2"/>
  <c r="Y334" i="2"/>
  <c r="Y333" i="2"/>
  <c r="Y332" i="2"/>
  <c r="Y331" i="2"/>
  <c r="Y330" i="2"/>
  <c r="Y329" i="2"/>
  <c r="Y328" i="2"/>
  <c r="Y327" i="2"/>
  <c r="Y326" i="2"/>
  <c r="Y325" i="2"/>
  <c r="Y324" i="2"/>
  <c r="Y323" i="2"/>
  <c r="Y322"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Y2" i="2"/>
  <c r="P70" i="29"/>
  <c r="O70" i="29"/>
  <c r="M70" i="29"/>
  <c r="K70" i="29"/>
  <c r="J70" i="29"/>
  <c r="I70" i="29"/>
  <c r="P138" i="29" l="1"/>
  <c r="O138" i="29"/>
  <c r="M138" i="29"/>
  <c r="K138" i="29"/>
  <c r="J138" i="29"/>
  <c r="I138" i="29"/>
  <c r="P18" i="29"/>
  <c r="O18" i="29"/>
  <c r="M18" i="29"/>
  <c r="K18" i="29"/>
  <c r="J18" i="29"/>
  <c r="I18" i="29"/>
  <c r="P17" i="29"/>
  <c r="O17" i="29"/>
  <c r="M17" i="29"/>
  <c r="K17" i="29"/>
  <c r="J17" i="29"/>
  <c r="I17" i="29"/>
  <c r="C130" i="29"/>
  <c r="P42" i="29"/>
  <c r="O42" i="29"/>
  <c r="M42" i="29"/>
  <c r="K42" i="29"/>
  <c r="J42" i="29"/>
  <c r="I42" i="29"/>
  <c r="P41" i="29"/>
  <c r="O41" i="29"/>
  <c r="M41" i="29"/>
  <c r="K41" i="29"/>
  <c r="J41" i="29"/>
  <c r="I41" i="29"/>
  <c r="P40" i="29"/>
  <c r="O40" i="29"/>
  <c r="M40" i="29"/>
  <c r="K40" i="29"/>
  <c r="J40" i="29"/>
  <c r="I40" i="29"/>
  <c r="P47" i="29"/>
  <c r="O47" i="29"/>
  <c r="M47" i="29"/>
  <c r="K47" i="29"/>
  <c r="J47" i="29"/>
  <c r="I47" i="29"/>
  <c r="P65" i="29"/>
  <c r="O65" i="29"/>
  <c r="M65" i="29"/>
  <c r="K65" i="29"/>
  <c r="J65" i="29"/>
  <c r="I65" i="29"/>
  <c r="P132" i="29"/>
  <c r="O132" i="29"/>
  <c r="M132" i="29"/>
  <c r="K132" i="29"/>
  <c r="J132" i="29"/>
  <c r="I132" i="29"/>
  <c r="P131" i="29"/>
  <c r="O131" i="29"/>
  <c r="M131" i="29"/>
  <c r="K131" i="29"/>
  <c r="J131" i="29"/>
  <c r="I131" i="29"/>
  <c r="P130" i="29"/>
  <c r="O130" i="29"/>
  <c r="M130" i="29"/>
  <c r="K130" i="29"/>
  <c r="J130" i="29"/>
  <c r="I130" i="29"/>
  <c r="P15" i="29"/>
  <c r="O15" i="29"/>
  <c r="M15" i="29"/>
  <c r="K15" i="29"/>
  <c r="J15" i="29"/>
  <c r="I15" i="29"/>
  <c r="P14" i="29"/>
  <c r="O14" i="29"/>
  <c r="M14" i="29"/>
  <c r="K14" i="29"/>
  <c r="J14" i="29"/>
  <c r="I14" i="29"/>
  <c r="P146" i="29"/>
  <c r="O146" i="29"/>
  <c r="M146" i="29"/>
  <c r="K146" i="29"/>
  <c r="J146" i="29"/>
  <c r="I146" i="29"/>
  <c r="P145" i="29"/>
  <c r="O145" i="29"/>
  <c r="M145" i="29"/>
  <c r="K145" i="29"/>
  <c r="J145" i="29"/>
  <c r="I145" i="29"/>
  <c r="P144" i="29"/>
  <c r="O144" i="29"/>
  <c r="M144" i="29"/>
  <c r="K144" i="29"/>
  <c r="J144" i="29"/>
  <c r="I144" i="29"/>
  <c r="P143" i="29"/>
  <c r="O143" i="29"/>
  <c r="M143" i="29"/>
  <c r="K143" i="29"/>
  <c r="J143" i="29"/>
  <c r="I143" i="29"/>
  <c r="P142" i="29"/>
  <c r="O142" i="29"/>
  <c r="M142" i="29"/>
  <c r="K142" i="29"/>
  <c r="J142" i="29"/>
  <c r="I142" i="29"/>
  <c r="P66" i="29"/>
  <c r="O66" i="29"/>
  <c r="M66" i="29"/>
  <c r="K66" i="29"/>
  <c r="J66" i="29"/>
  <c r="I66" i="29"/>
  <c r="P134" i="29"/>
  <c r="O134" i="29"/>
  <c r="M134" i="29"/>
  <c r="K134" i="29"/>
  <c r="J134" i="29"/>
  <c r="I134" i="29"/>
  <c r="P13" i="29"/>
  <c r="O13" i="29"/>
  <c r="M13" i="29"/>
  <c r="K13" i="29"/>
  <c r="J13" i="29"/>
  <c r="I13" i="29"/>
  <c r="P12" i="29"/>
  <c r="O12" i="29"/>
  <c r="M12" i="29"/>
  <c r="K12" i="29"/>
  <c r="J12" i="29"/>
  <c r="I12" i="29"/>
  <c r="P69" i="29"/>
  <c r="O69" i="29"/>
  <c r="M69" i="29"/>
  <c r="K69" i="29"/>
  <c r="J69" i="29"/>
  <c r="I69" i="29"/>
  <c r="P67" i="29"/>
  <c r="O67" i="29"/>
  <c r="M67" i="29"/>
  <c r="K67" i="29"/>
  <c r="J67" i="29"/>
  <c r="I67" i="29"/>
  <c r="P39" i="29"/>
  <c r="O39" i="29"/>
  <c r="M39" i="29"/>
  <c r="K39" i="29"/>
  <c r="J39" i="29"/>
  <c r="I39" i="29"/>
  <c r="P38" i="29"/>
  <c r="O38" i="29"/>
  <c r="M38" i="29"/>
  <c r="K38" i="29"/>
  <c r="J38" i="29"/>
  <c r="I38" i="29"/>
  <c r="P11" i="29"/>
  <c r="O11" i="29"/>
  <c r="M11" i="29"/>
  <c r="K11" i="29"/>
  <c r="J11" i="29"/>
  <c r="I11" i="29"/>
  <c r="P10" i="29"/>
  <c r="O10" i="29"/>
  <c r="M10" i="29"/>
  <c r="K10" i="29"/>
  <c r="J10" i="29"/>
  <c r="I10" i="29"/>
  <c r="P9" i="29"/>
  <c r="O9" i="29"/>
  <c r="M9" i="29"/>
  <c r="K9" i="29"/>
  <c r="J9" i="29"/>
  <c r="I9" i="29"/>
  <c r="P30" i="29"/>
  <c r="O30" i="29"/>
  <c r="M30" i="29"/>
  <c r="K30" i="29"/>
  <c r="J30" i="29"/>
  <c r="I30" i="29"/>
  <c r="P64" i="29"/>
  <c r="O64" i="29"/>
  <c r="M64" i="29"/>
  <c r="K64" i="29"/>
  <c r="J64" i="29"/>
  <c r="I64" i="29"/>
  <c r="P8" i="29"/>
  <c r="O8" i="29"/>
  <c r="M8" i="29"/>
  <c r="K8" i="29"/>
  <c r="J8" i="29"/>
  <c r="I8" i="29"/>
  <c r="P7" i="29"/>
  <c r="O7" i="29"/>
  <c r="M7" i="29"/>
  <c r="K7" i="29"/>
  <c r="J7" i="29"/>
  <c r="I7" i="29"/>
  <c r="I52" i="29"/>
  <c r="J52" i="29"/>
  <c r="K52" i="29"/>
  <c r="M52" i="29"/>
  <c r="O52" i="29"/>
  <c r="P52" i="29"/>
  <c r="P74" i="29"/>
  <c r="O74" i="29"/>
  <c r="M74" i="29"/>
  <c r="K74" i="29"/>
  <c r="J74" i="29"/>
  <c r="I74" i="29"/>
  <c r="P73" i="29"/>
  <c r="O73" i="29"/>
  <c r="M73" i="29"/>
  <c r="K73" i="29"/>
  <c r="J73" i="29"/>
  <c r="I73" i="29"/>
  <c r="P4" i="29"/>
  <c r="O4" i="29"/>
  <c r="M4" i="29"/>
  <c r="K4" i="29"/>
  <c r="J4" i="29"/>
  <c r="I4" i="29"/>
  <c r="P3" i="29"/>
  <c r="O3" i="29"/>
  <c r="M3" i="29"/>
  <c r="K3" i="29"/>
  <c r="J3" i="29"/>
  <c r="I3" i="29"/>
  <c r="P63" i="29"/>
  <c r="O63" i="29"/>
  <c r="M63" i="29"/>
  <c r="K63" i="29"/>
  <c r="J63" i="29"/>
  <c r="I63" i="29"/>
  <c r="F5" i="21"/>
  <c r="D5" i="21"/>
  <c r="C5" i="21"/>
  <c r="B5" i="21"/>
  <c r="B7" i="25"/>
  <c r="C7" i="25"/>
  <c r="D7" i="25"/>
  <c r="F7" i="25"/>
  <c r="G7" i="25"/>
  <c r="H7" i="25"/>
  <c r="I7" i="25"/>
  <c r="I15" i="25"/>
  <c r="I11" i="25"/>
  <c r="I9" i="25"/>
  <c r="I5" i="25"/>
  <c r="I4" i="25"/>
  <c r="I3" i="25"/>
  <c r="I13" i="25"/>
  <c r="I2" i="25"/>
  <c r="H15" i="25"/>
  <c r="G15" i="25"/>
  <c r="F15" i="25"/>
  <c r="D15" i="25"/>
  <c r="C15" i="25"/>
  <c r="B15" i="25"/>
  <c r="H11" i="25"/>
  <c r="G11" i="25"/>
  <c r="F11" i="25"/>
  <c r="D11" i="25"/>
  <c r="C11" i="25"/>
  <c r="B11" i="25"/>
  <c r="H9" i="25"/>
  <c r="G9" i="25"/>
  <c r="F9" i="25"/>
  <c r="D9" i="25"/>
  <c r="C9" i="25"/>
  <c r="B9" i="25"/>
  <c r="H5" i="25"/>
  <c r="G5" i="25"/>
  <c r="F5" i="25"/>
  <c r="D5" i="25"/>
  <c r="C5" i="25"/>
  <c r="B5" i="25"/>
  <c r="H4" i="25"/>
  <c r="G4" i="25"/>
  <c r="F4" i="25"/>
  <c r="D4" i="25"/>
  <c r="C4" i="25"/>
  <c r="B4" i="25"/>
  <c r="H3" i="25"/>
  <c r="G3" i="25"/>
  <c r="F3" i="25"/>
  <c r="D3" i="25"/>
  <c r="C3" i="25"/>
  <c r="B3" i="25"/>
  <c r="H13" i="25"/>
  <c r="G13" i="25"/>
  <c r="F13" i="25"/>
  <c r="D13" i="25"/>
  <c r="C13" i="25"/>
  <c r="B13" i="25"/>
  <c r="H2" i="25"/>
  <c r="G2" i="25"/>
  <c r="F2" i="25"/>
  <c r="D2" i="25"/>
  <c r="C2" i="25"/>
  <c r="B2" i="25"/>
  <c r="H4" i="21"/>
  <c r="G4" i="21"/>
  <c r="F4" i="21"/>
  <c r="D4" i="21"/>
  <c r="C4" i="21"/>
  <c r="B4" i="21"/>
  <c r="H3" i="21"/>
  <c r="G3" i="21"/>
  <c r="F3" i="21"/>
  <c r="D3" i="21"/>
  <c r="C3" i="21"/>
  <c r="B3" i="21"/>
  <c r="L2" i="4"/>
  <c r="X362" i="2" l="1"/>
  <c r="X360" i="2"/>
  <c r="X353" i="2"/>
  <c r="X352" i="2"/>
  <c r="X351" i="2"/>
  <c r="X349" i="2"/>
  <c r="X348" i="2"/>
  <c r="X347" i="2"/>
  <c r="X346" i="2"/>
  <c r="X343" i="2"/>
  <c r="X342" i="2"/>
  <c r="X339" i="2"/>
  <c r="X338" i="2"/>
  <c r="X335" i="2"/>
  <c r="X333" i="2"/>
  <c r="X331" i="2"/>
  <c r="X330" i="2"/>
  <c r="X329" i="2"/>
  <c r="X327" i="2"/>
  <c r="X328" i="2"/>
  <c r="X325" i="2"/>
  <c r="X323" i="2"/>
  <c r="X322" i="2"/>
  <c r="X320" i="2"/>
  <c r="X316" i="2"/>
  <c r="X314" i="2"/>
  <c r="X315" i="2"/>
  <c r="X312" i="2"/>
  <c r="X313" i="2"/>
  <c r="X311" i="2"/>
  <c r="X310" i="2"/>
  <c r="X309" i="2"/>
  <c r="X308" i="2"/>
  <c r="X307" i="2"/>
  <c r="X305" i="2"/>
  <c r="X303" i="2"/>
  <c r="X304" i="2"/>
  <c r="X299" i="2"/>
  <c r="X300" i="2"/>
  <c r="X296" i="2"/>
  <c r="X295" i="2"/>
  <c r="X292" i="2"/>
  <c r="X293" i="2"/>
  <c r="X294" i="2"/>
  <c r="X291" i="2"/>
  <c r="X290" i="2"/>
  <c r="X288" i="2"/>
  <c r="X287" i="2"/>
  <c r="X286" i="2"/>
  <c r="X285" i="2"/>
  <c r="X282" i="2"/>
  <c r="X281" i="2"/>
  <c r="X278" i="2"/>
  <c r="X279" i="2"/>
  <c r="X280" i="2"/>
  <c r="X277" i="2"/>
  <c r="X275" i="2"/>
  <c r="X273" i="2"/>
  <c r="X274" i="2"/>
  <c r="X271" i="2"/>
  <c r="X270" i="2"/>
  <c r="X269" i="2"/>
  <c r="X268" i="2"/>
  <c r="X267" i="2"/>
  <c r="X266" i="2"/>
  <c r="X264" i="2"/>
  <c r="X265" i="2"/>
  <c r="X263" i="2"/>
  <c r="X260" i="2"/>
  <c r="X261" i="2"/>
  <c r="X258" i="2"/>
  <c r="X259" i="2"/>
  <c r="X257" i="2"/>
  <c r="X256" i="2"/>
  <c r="X255" i="2"/>
  <c r="X254" i="2"/>
  <c r="X253" i="2"/>
  <c r="X251" i="2"/>
  <c r="X252" i="2"/>
  <c r="X250" i="2"/>
  <c r="X248" i="2"/>
  <c r="X249" i="2"/>
  <c r="X242" i="2"/>
  <c r="X243" i="2"/>
  <c r="X244" i="2"/>
  <c r="X245" i="2"/>
  <c r="X241" i="2"/>
  <c r="X240" i="2"/>
  <c r="X239" i="2"/>
  <c r="X238" i="2"/>
  <c r="X237" i="2"/>
  <c r="X236" i="2"/>
  <c r="X234" i="2"/>
  <c r="X235" i="2"/>
  <c r="X233" i="2"/>
  <c r="X231" i="2"/>
  <c r="X232" i="2"/>
  <c r="X230" i="2"/>
  <c r="X226" i="2"/>
  <c r="X227" i="2"/>
  <c r="X228" i="2"/>
  <c r="X222" i="2"/>
  <c r="X223" i="2"/>
  <c r="X224" i="2"/>
  <c r="X225" i="2"/>
  <c r="X219" i="2"/>
  <c r="X220" i="2"/>
  <c r="X221" i="2"/>
  <c r="X218" i="2"/>
  <c r="X215" i="2"/>
  <c r="X216" i="2"/>
  <c r="X211" i="2"/>
  <c r="X212" i="2"/>
  <c r="X213" i="2"/>
  <c r="X214" i="2"/>
  <c r="X206" i="2"/>
  <c r="X207" i="2"/>
  <c r="X208" i="2"/>
  <c r="X209" i="2"/>
  <c r="X210" i="2"/>
  <c r="X201" i="2"/>
  <c r="X202" i="2"/>
  <c r="X203" i="2"/>
  <c r="X204" i="2"/>
  <c r="X200" i="2"/>
  <c r="X198" i="2"/>
  <c r="X199" i="2"/>
  <c r="X196" i="2"/>
  <c r="X197" i="2"/>
  <c r="X187" i="2"/>
  <c r="X188" i="2"/>
  <c r="X189" i="2"/>
  <c r="X190" i="2"/>
  <c r="X191" i="2"/>
  <c r="X192" i="2"/>
  <c r="X193" i="2"/>
  <c r="X194" i="2"/>
  <c r="X195" i="2"/>
  <c r="X186" i="2"/>
  <c r="X182" i="2"/>
  <c r="X183" i="2"/>
  <c r="X184" i="2"/>
  <c r="X185" i="2"/>
  <c r="X181" i="2"/>
  <c r="X178" i="2"/>
  <c r="X179" i="2"/>
  <c r="X180" i="2"/>
  <c r="X171" i="2"/>
  <c r="X172" i="2"/>
  <c r="X173" i="2"/>
  <c r="X174" i="2"/>
  <c r="X175" i="2"/>
  <c r="X176" i="2"/>
  <c r="X170" i="2"/>
  <c r="X164" i="2"/>
  <c r="X165" i="2"/>
  <c r="X166" i="2"/>
  <c r="X167" i="2"/>
  <c r="X168" i="2"/>
  <c r="X169" i="2"/>
  <c r="X163" i="2"/>
  <c r="X157" i="2"/>
  <c r="X158" i="2"/>
  <c r="X159" i="2"/>
  <c r="X160" i="2"/>
  <c r="X161" i="2"/>
  <c r="X149" i="2"/>
  <c r="X150" i="2"/>
  <c r="X151" i="2"/>
  <c r="X152" i="2"/>
  <c r="X153" i="2"/>
  <c r="X154" i="2"/>
  <c r="X155" i="2"/>
  <c r="X156" i="2"/>
  <c r="X147" i="2"/>
  <c r="X148" i="2"/>
  <c r="X145" i="2"/>
  <c r="X146" i="2"/>
  <c r="X143" i="2"/>
  <c r="X144" i="2"/>
  <c r="X139" i="2"/>
  <c r="X140" i="2"/>
  <c r="X141" i="2"/>
  <c r="X142" i="2"/>
  <c r="X135" i="2"/>
  <c r="X136" i="2"/>
  <c r="X137" i="2"/>
  <c r="X138" i="2"/>
  <c r="X130" i="2"/>
  <c r="X131" i="2"/>
  <c r="X132" i="2"/>
  <c r="X133" i="2"/>
  <c r="X134" i="2"/>
  <c r="X123" i="2"/>
  <c r="X124" i="2"/>
  <c r="X125" i="2"/>
  <c r="X126" i="2"/>
  <c r="X127" i="2"/>
  <c r="X128" i="2"/>
  <c r="X122" i="2"/>
  <c r="X120" i="2"/>
  <c r="X121" i="2"/>
  <c r="X117" i="2"/>
  <c r="X118" i="2"/>
  <c r="X119" i="2"/>
  <c r="X115" i="2"/>
  <c r="X116" i="2"/>
  <c r="X113" i="2"/>
  <c r="X114" i="2"/>
  <c r="X109" i="2"/>
  <c r="X110" i="2"/>
  <c r="X111" i="2"/>
  <c r="X112" i="2"/>
  <c r="X108" i="2"/>
  <c r="X102" i="2"/>
  <c r="X103" i="2"/>
  <c r="X104" i="2"/>
  <c r="X105" i="2"/>
  <c r="X106" i="2"/>
  <c r="X107" i="2"/>
  <c r="X96" i="2"/>
  <c r="X97" i="2"/>
  <c r="X98" i="2"/>
  <c r="X99" i="2"/>
  <c r="X100" i="2"/>
  <c r="X101" i="2"/>
  <c r="X87" i="2"/>
  <c r="X88" i="2"/>
  <c r="X89" i="2"/>
  <c r="X90" i="2"/>
  <c r="X91" i="2"/>
  <c r="X92" i="2"/>
  <c r="X93" i="2"/>
  <c r="X94" i="2"/>
  <c r="X95" i="2"/>
  <c r="X86" i="2"/>
  <c r="X82" i="2"/>
  <c r="X83" i="2"/>
  <c r="X84" i="2"/>
  <c r="X85" i="2"/>
  <c r="X76" i="2"/>
  <c r="X77" i="2"/>
  <c r="X78" i="2"/>
  <c r="X79" i="2"/>
  <c r="X80" i="2"/>
  <c r="X66" i="2"/>
  <c r="X67" i="2"/>
  <c r="X68" i="2"/>
  <c r="X69" i="2"/>
  <c r="X70" i="2"/>
  <c r="X71" i="2"/>
  <c r="X72" i="2"/>
  <c r="X73" i="2"/>
  <c r="X74" i="2"/>
  <c r="X75" i="2"/>
  <c r="X64" i="2"/>
  <c r="X65" i="2"/>
  <c r="X57" i="2"/>
  <c r="X58" i="2"/>
  <c r="X59" i="2"/>
  <c r="X60" i="2"/>
  <c r="X61" i="2"/>
  <c r="X62" i="2"/>
  <c r="X48" i="2"/>
  <c r="X49" i="2"/>
  <c r="X50" i="2"/>
  <c r="X51" i="2"/>
  <c r="X52" i="2"/>
  <c r="X53" i="2"/>
  <c r="X54" i="2"/>
  <c r="X55" i="2"/>
  <c r="X56" i="2"/>
  <c r="X47" i="2"/>
  <c r="X42" i="2"/>
  <c r="X43" i="2"/>
  <c r="X44" i="2"/>
  <c r="X45" i="2"/>
  <c r="X46" i="2"/>
  <c r="X41" i="2"/>
  <c r="X40" i="2"/>
  <c r="X38" i="2"/>
  <c r="X39" i="2"/>
  <c r="X36" i="2"/>
  <c r="X37" i="2"/>
  <c r="X31" i="2"/>
  <c r="X32" i="2"/>
  <c r="X33" i="2"/>
  <c r="X34" i="2"/>
  <c r="X35" i="2"/>
  <c r="X24" i="2"/>
  <c r="X25" i="2"/>
  <c r="X26" i="2"/>
  <c r="X27" i="2"/>
  <c r="X28" i="2"/>
  <c r="X29" i="2"/>
  <c r="X30" i="2"/>
  <c r="X22" i="2"/>
  <c r="X23" i="2"/>
  <c r="X17" i="2"/>
  <c r="X18" i="2"/>
  <c r="X19" i="2"/>
  <c r="X20" i="2"/>
  <c r="X21" i="2"/>
  <c r="X14" i="2"/>
  <c r="X15" i="2"/>
  <c r="X16" i="2"/>
  <c r="X13" i="2"/>
  <c r="X7" i="2"/>
  <c r="X8" i="2"/>
  <c r="X9" i="2"/>
  <c r="X10" i="2"/>
  <c r="X11" i="2"/>
  <c r="X12" i="2"/>
  <c r="X6" i="2"/>
  <c r="X4" i="2"/>
  <c r="X5" i="2"/>
  <c r="X2" i="2"/>
  <c r="X3" i="2"/>
  <c r="E374" i="2"/>
  <c r="E373" i="2"/>
  <c r="E372" i="2"/>
  <c r="E371" i="2"/>
  <c r="E369" i="2"/>
  <c r="E370"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7" i="2"/>
  <c r="E328" i="2"/>
  <c r="E326" i="2"/>
  <c r="E325" i="2"/>
  <c r="E324" i="2"/>
  <c r="E323" i="2"/>
  <c r="E322" i="2"/>
  <c r="E321" i="2"/>
  <c r="E320" i="2"/>
  <c r="E319" i="2"/>
  <c r="E318" i="2"/>
  <c r="E317" i="2"/>
  <c r="E316" i="2"/>
  <c r="E314" i="2"/>
  <c r="E315" i="2"/>
  <c r="E312" i="2"/>
  <c r="E313" i="2"/>
  <c r="E311" i="2"/>
  <c r="E310" i="2"/>
  <c r="E309" i="2"/>
  <c r="E308" i="2"/>
  <c r="E307" i="2"/>
  <c r="L55" i="29" s="1"/>
  <c r="E306" i="2"/>
  <c r="E305" i="2"/>
  <c r="E303" i="2"/>
  <c r="E304" i="2"/>
  <c r="E302" i="2"/>
  <c r="E301" i="2"/>
  <c r="E299" i="2"/>
  <c r="E300" i="2"/>
  <c r="E298" i="2"/>
  <c r="E297" i="2"/>
  <c r="E296" i="2"/>
  <c r="E295" i="2"/>
  <c r="E292" i="2"/>
  <c r="E293" i="2"/>
  <c r="E294" i="2"/>
  <c r="E291" i="2"/>
  <c r="E290" i="2"/>
  <c r="E289" i="2"/>
  <c r="E288" i="2"/>
  <c r="E287" i="2"/>
  <c r="E286" i="2"/>
  <c r="E285" i="2"/>
  <c r="L42" i="29" s="1"/>
  <c r="E284" i="2"/>
  <c r="E283" i="2"/>
  <c r="E282" i="2"/>
  <c r="E281" i="2"/>
  <c r="E278" i="2"/>
  <c r="E279" i="2"/>
  <c r="E280" i="2"/>
  <c r="E277" i="2"/>
  <c r="E276" i="2"/>
  <c r="E275" i="2"/>
  <c r="L37" i="29" s="1"/>
  <c r="E273" i="2"/>
  <c r="E274" i="2"/>
  <c r="E272" i="2"/>
  <c r="E271" i="2"/>
  <c r="E270" i="2"/>
  <c r="E269" i="2"/>
  <c r="E268" i="2"/>
  <c r="L117" i="29" s="1"/>
  <c r="D117" i="29" s="1"/>
  <c r="E267" i="2"/>
  <c r="L68" i="29" s="1"/>
  <c r="E266" i="2"/>
  <c r="E264" i="2"/>
  <c r="L75" i="29" s="1"/>
  <c r="E265" i="2"/>
  <c r="E263" i="2"/>
  <c r="E262" i="2"/>
  <c r="E260" i="2"/>
  <c r="E261" i="2"/>
  <c r="L144" i="29" s="1"/>
  <c r="E258" i="2"/>
  <c r="E259" i="2"/>
  <c r="E257" i="2"/>
  <c r="E256" i="2"/>
  <c r="E255" i="2"/>
  <c r="L151" i="29" s="1"/>
  <c r="E254" i="2"/>
  <c r="L34" i="29" s="1"/>
  <c r="E253" i="2"/>
  <c r="E251" i="2"/>
  <c r="E252" i="2"/>
  <c r="E250" i="2"/>
  <c r="E248" i="2"/>
  <c r="E249" i="2"/>
  <c r="E246" i="2"/>
  <c r="E247" i="2"/>
  <c r="L19" i="29" s="1"/>
  <c r="E242" i="2"/>
  <c r="E243" i="2"/>
  <c r="E244" i="2"/>
  <c r="L13" i="29" s="1"/>
  <c r="E245" i="2"/>
  <c r="E241" i="2"/>
  <c r="L150" i="29" s="1"/>
  <c r="E240" i="2"/>
  <c r="L14" i="29" s="1"/>
  <c r="E239" i="2"/>
  <c r="E238" i="2"/>
  <c r="E237" i="2"/>
  <c r="L111" i="29" s="1"/>
  <c r="E236" i="2"/>
  <c r="E234" i="2"/>
  <c r="E235" i="2"/>
  <c r="E233" i="2"/>
  <c r="L61" i="29" s="1"/>
  <c r="E231" i="2"/>
  <c r="E232" i="2"/>
  <c r="E230" i="2"/>
  <c r="E229" i="2"/>
  <c r="E226" i="2"/>
  <c r="E227" i="2"/>
  <c r="E228" i="2"/>
  <c r="E222" i="2"/>
  <c r="E223" i="2"/>
  <c r="E224" i="2"/>
  <c r="E225" i="2"/>
  <c r="E219" i="2"/>
  <c r="E220" i="2"/>
  <c r="L60" i="29" s="1"/>
  <c r="E221" i="2"/>
  <c r="L56" i="29" s="1"/>
  <c r="E218" i="2"/>
  <c r="E217" i="2"/>
  <c r="L97" i="29" s="1"/>
  <c r="E215" i="2"/>
  <c r="E216" i="2"/>
  <c r="E211" i="2"/>
  <c r="L47" i="29" s="1"/>
  <c r="E212" i="2"/>
  <c r="E213" i="2"/>
  <c r="E214" i="2"/>
  <c r="E206" i="2"/>
  <c r="E207" i="2"/>
  <c r="E208" i="2"/>
  <c r="E209" i="2"/>
  <c r="E210" i="2"/>
  <c r="L105" i="29" s="1"/>
  <c r="D105" i="29" s="1"/>
  <c r="E205" i="2"/>
  <c r="E201" i="2"/>
  <c r="E202" i="2"/>
  <c r="E203" i="2"/>
  <c r="E204" i="2"/>
  <c r="E200" i="2"/>
  <c r="L41" i="29" s="1"/>
  <c r="E198" i="2"/>
  <c r="E199" i="2"/>
  <c r="L8" i="29" s="1"/>
  <c r="E196" i="2"/>
  <c r="E197" i="2"/>
  <c r="L36" i="29" s="1"/>
  <c r="E187" i="2"/>
  <c r="L77" i="29" s="1"/>
  <c r="D77" i="29" s="1"/>
  <c r="E188" i="2"/>
  <c r="E189" i="2"/>
  <c r="L20" i="29" s="1"/>
  <c r="E190" i="2"/>
  <c r="E191" i="2"/>
  <c r="L132" i="29" s="1"/>
  <c r="E192" i="2"/>
  <c r="E193" i="2"/>
  <c r="E194" i="2"/>
  <c r="L109" i="29" s="1"/>
  <c r="E195" i="2"/>
  <c r="E186" i="2"/>
  <c r="E182" i="2"/>
  <c r="E183" i="2"/>
  <c r="E184" i="2"/>
  <c r="L83" i="29" s="1"/>
  <c r="D83" i="29" s="1"/>
  <c r="E185" i="2"/>
  <c r="L24" i="29" s="1"/>
  <c r="E181" i="2"/>
  <c r="E178" i="2"/>
  <c r="L108" i="29" s="1"/>
  <c r="D108" i="29" s="1"/>
  <c r="E179" i="2"/>
  <c r="E180" i="2"/>
  <c r="E177" i="2"/>
  <c r="E171" i="2"/>
  <c r="E172" i="2"/>
  <c r="E173" i="2"/>
  <c r="L143" i="29" s="1"/>
  <c r="E174" i="2"/>
  <c r="E175" i="2"/>
  <c r="L107" i="29" s="1"/>
  <c r="D107" i="29" s="1"/>
  <c r="E176" i="2"/>
  <c r="E170" i="2"/>
  <c r="L152" i="29" s="1"/>
  <c r="E164" i="2"/>
  <c r="L12" i="29" s="1"/>
  <c r="E165" i="2"/>
  <c r="E166" i="2"/>
  <c r="E167" i="2"/>
  <c r="E168" i="2"/>
  <c r="E169" i="2"/>
  <c r="L142" i="29" s="1"/>
  <c r="E163" i="2"/>
  <c r="E162" i="2"/>
  <c r="E157" i="2"/>
  <c r="E158" i="2"/>
  <c r="E159" i="2"/>
  <c r="E160" i="2"/>
  <c r="L122" i="29" s="1"/>
  <c r="D122" i="29" s="1"/>
  <c r="E161" i="2"/>
  <c r="L116" i="29" s="1"/>
  <c r="D116" i="29" s="1"/>
  <c r="E149" i="2"/>
  <c r="E150" i="2"/>
  <c r="E151" i="2"/>
  <c r="L103" i="29" s="1"/>
  <c r="E152" i="2"/>
  <c r="E153" i="2"/>
  <c r="L104" i="29" s="1"/>
  <c r="D104" i="29" s="1"/>
  <c r="E154" i="2"/>
  <c r="L106" i="29" s="1"/>
  <c r="D106" i="29" s="1"/>
  <c r="E155" i="2"/>
  <c r="L16" i="29" s="1"/>
  <c r="E156" i="2"/>
  <c r="L65" i="29" s="1"/>
  <c r="E147" i="2"/>
  <c r="E148" i="2"/>
  <c r="E145" i="2"/>
  <c r="L44" i="29" s="1"/>
  <c r="E146" i="2"/>
  <c r="E143" i="2"/>
  <c r="L123" i="29" s="1"/>
  <c r="D123" i="29" s="1"/>
  <c r="E144" i="2"/>
  <c r="L57" i="29" s="1"/>
  <c r="D57" i="29" s="1"/>
  <c r="E139" i="2"/>
  <c r="E140" i="2"/>
  <c r="L48" i="29" s="1"/>
  <c r="D48" i="29" s="1"/>
  <c r="E141" i="2"/>
  <c r="L101" i="29" s="1"/>
  <c r="D101" i="29" s="1"/>
  <c r="E142" i="2"/>
  <c r="L52" i="29" s="1"/>
  <c r="D52" i="29" s="1"/>
  <c r="E135" i="2"/>
  <c r="E136" i="2"/>
  <c r="L5" i="29" s="1"/>
  <c r="E137" i="2"/>
  <c r="E138" i="2"/>
  <c r="E130" i="2"/>
  <c r="L26" i="29" s="1"/>
  <c r="E131" i="2"/>
  <c r="E132" i="2"/>
  <c r="E133" i="2"/>
  <c r="E134" i="2"/>
  <c r="L31" i="29" s="1"/>
  <c r="E129" i="2"/>
  <c r="E123" i="2"/>
  <c r="L45" i="29" s="1"/>
  <c r="E124" i="2"/>
  <c r="L120" i="29" s="1"/>
  <c r="D120" i="29" s="1"/>
  <c r="E125" i="2"/>
  <c r="E126" i="2"/>
  <c r="L121" i="29" s="1"/>
  <c r="D121" i="29" s="1"/>
  <c r="E127" i="2"/>
  <c r="L99" i="29" s="1"/>
  <c r="D99" i="29" s="1"/>
  <c r="E128" i="2"/>
  <c r="L46" i="29" s="1"/>
  <c r="E122" i="2"/>
  <c r="E120" i="2"/>
  <c r="L43" i="29" s="1"/>
  <c r="E121" i="2"/>
  <c r="E117" i="2"/>
  <c r="E118" i="2"/>
  <c r="L138" i="29" s="1"/>
  <c r="E119" i="2"/>
  <c r="L129" i="29" s="1"/>
  <c r="D129" i="29" s="1"/>
  <c r="E115" i="2"/>
  <c r="E116" i="2"/>
  <c r="L54" i="29" s="1"/>
  <c r="E113" i="2"/>
  <c r="L130" i="29" s="1"/>
  <c r="E114" i="2"/>
  <c r="E109" i="2"/>
  <c r="L51" i="29" s="1"/>
  <c r="E110" i="2"/>
  <c r="L98" i="29" s="1"/>
  <c r="D98" i="29" s="1"/>
  <c r="E111" i="2"/>
  <c r="L28" i="29" s="1"/>
  <c r="D28" i="29" s="1"/>
  <c r="E112" i="2"/>
  <c r="E108" i="2"/>
  <c r="E102" i="2"/>
  <c r="E103" i="2"/>
  <c r="L139" i="29" s="1"/>
  <c r="E104" i="2"/>
  <c r="L128" i="29" s="1"/>
  <c r="D128" i="29" s="1"/>
  <c r="E105" i="2"/>
  <c r="L137" i="29" s="1"/>
  <c r="E106" i="2"/>
  <c r="E107" i="2"/>
  <c r="L127" i="29" s="1"/>
  <c r="D127" i="29" s="1"/>
  <c r="E96" i="2"/>
  <c r="L124" i="29" s="1"/>
  <c r="E97" i="2"/>
  <c r="E98" i="2"/>
  <c r="E99" i="2"/>
  <c r="L149" i="29" s="1"/>
  <c r="E100" i="2"/>
  <c r="L96" i="29" s="1"/>
  <c r="E101" i="2"/>
  <c r="L29" i="29" s="1"/>
  <c r="D29" i="29" s="1"/>
  <c r="E87" i="2"/>
  <c r="L79" i="29" s="1"/>
  <c r="D79" i="29" s="1"/>
  <c r="E88" i="2"/>
  <c r="L110" i="29" s="1"/>
  <c r="E89" i="2"/>
  <c r="E90" i="2"/>
  <c r="L95" i="29" s="1"/>
  <c r="D95" i="29" s="1"/>
  <c r="E91" i="2"/>
  <c r="L119" i="29" s="1"/>
  <c r="D119" i="29" s="1"/>
  <c r="E92" i="2"/>
  <c r="E93" i="2"/>
  <c r="L53" i="29" s="1"/>
  <c r="E94" i="2"/>
  <c r="L25" i="29" s="1"/>
  <c r="E95" i="2"/>
  <c r="E86" i="2"/>
  <c r="L94" i="29" s="1"/>
  <c r="D94" i="29" s="1"/>
  <c r="E82" i="2"/>
  <c r="E83" i="2"/>
  <c r="L93" i="29" s="1"/>
  <c r="D93" i="29" s="1"/>
  <c r="E84" i="2"/>
  <c r="E85" i="2"/>
  <c r="E81" i="2"/>
  <c r="L102" i="29" s="1"/>
  <c r="E76" i="2"/>
  <c r="E77" i="2"/>
  <c r="L92" i="29" s="1"/>
  <c r="D92" i="29" s="1"/>
  <c r="E78" i="2"/>
  <c r="L140" i="29" s="1"/>
  <c r="E79" i="2"/>
  <c r="L71" i="29" s="1"/>
  <c r="D71" i="29" s="1"/>
  <c r="E80" i="2"/>
  <c r="E66" i="2"/>
  <c r="L85" i="29" s="1"/>
  <c r="D85" i="29" s="1"/>
  <c r="E67" i="2"/>
  <c r="L87" i="29" s="1"/>
  <c r="D87" i="29" s="1"/>
  <c r="E68" i="2"/>
  <c r="L86" i="29" s="1"/>
  <c r="D86" i="29" s="1"/>
  <c r="E69" i="2"/>
  <c r="L88" i="29" s="1"/>
  <c r="D88" i="29" s="1"/>
  <c r="E70" i="2"/>
  <c r="E71" i="2"/>
  <c r="L147" i="29" s="1"/>
  <c r="E72" i="2"/>
  <c r="L90" i="29" s="1"/>
  <c r="D90" i="29" s="1"/>
  <c r="E73" i="2"/>
  <c r="L115" i="29" s="1"/>
  <c r="E74" i="2"/>
  <c r="L89" i="29" s="1"/>
  <c r="D89" i="29" s="1"/>
  <c r="E75" i="2"/>
  <c r="L91" i="29" s="1"/>
  <c r="D91" i="29" s="1"/>
  <c r="E64" i="2"/>
  <c r="L148" i="29" s="1"/>
  <c r="E65" i="2"/>
  <c r="E63" i="2"/>
  <c r="L32" i="29" s="1"/>
  <c r="D32" i="29" s="1"/>
  <c r="E57" i="2"/>
  <c r="L50" i="29" s="1"/>
  <c r="E58" i="2"/>
  <c r="L125" i="29" s="1"/>
  <c r="E59" i="2"/>
  <c r="L21" i="29" s="1"/>
  <c r="E60" i="2"/>
  <c r="L23" i="29" s="1"/>
  <c r="E61" i="2"/>
  <c r="L15" i="29" s="1"/>
  <c r="E62" i="2"/>
  <c r="E48" i="2"/>
  <c r="L146" i="29" s="1"/>
  <c r="E49" i="2"/>
  <c r="E50" i="2"/>
  <c r="E51" i="2"/>
  <c r="L76" i="29" s="1"/>
  <c r="D76" i="29" s="1"/>
  <c r="E52" i="2"/>
  <c r="L81" i="29" s="1"/>
  <c r="D81" i="29" s="1"/>
  <c r="E53" i="2"/>
  <c r="L84" i="29" s="1"/>
  <c r="D84" i="29" s="1"/>
  <c r="E54" i="2"/>
  <c r="E55" i="2"/>
  <c r="E56" i="2"/>
  <c r="E47" i="2"/>
  <c r="E42" i="2"/>
  <c r="E43" i="2"/>
  <c r="E44" i="2"/>
  <c r="L40" i="29" s="1"/>
  <c r="E45" i="2"/>
  <c r="E46" i="2"/>
  <c r="L114" i="29" s="1"/>
  <c r="E41" i="2"/>
  <c r="L136" i="29" s="1"/>
  <c r="D136" i="29" s="1"/>
  <c r="E40" i="2"/>
  <c r="L82" i="29" s="1"/>
  <c r="D82" i="29" s="1"/>
  <c r="E38" i="2"/>
  <c r="L80" i="29" s="1"/>
  <c r="D80" i="29" s="1"/>
  <c r="E39" i="2"/>
  <c r="L72" i="29" s="1"/>
  <c r="D72" i="29" s="1"/>
  <c r="E36" i="2"/>
  <c r="L62" i="29" s="1"/>
  <c r="D62" i="29" s="1"/>
  <c r="E37" i="2"/>
  <c r="L135" i="29" s="1"/>
  <c r="D135" i="29" s="1"/>
  <c r="E31" i="2"/>
  <c r="L126" i="29" s="1"/>
  <c r="D126" i="29" s="1"/>
  <c r="E32" i="2"/>
  <c r="E33" i="2"/>
  <c r="L118" i="29" s="1"/>
  <c r="D118" i="29" s="1"/>
  <c r="E34" i="2"/>
  <c r="L59" i="29" s="1"/>
  <c r="D59" i="29" s="1"/>
  <c r="E35" i="2"/>
  <c r="L35" i="29" s="1"/>
  <c r="E24" i="2"/>
  <c r="E25" i="2"/>
  <c r="E26" i="2"/>
  <c r="L141" i="29" s="1"/>
  <c r="D141" i="29" s="1"/>
  <c r="E27" i="2"/>
  <c r="L58" i="29" s="1"/>
  <c r="D58" i="29" s="1"/>
  <c r="E28" i="2"/>
  <c r="E29" i="2"/>
  <c r="E30" i="2"/>
  <c r="L78" i="29" s="1"/>
  <c r="D78" i="29" s="1"/>
  <c r="E22" i="2"/>
  <c r="E23" i="2"/>
  <c r="L22" i="29" s="1"/>
  <c r="E17" i="2"/>
  <c r="E18" i="2"/>
  <c r="L27" i="29" s="1"/>
  <c r="D27" i="29" s="1"/>
  <c r="E19" i="2"/>
  <c r="E20" i="2"/>
  <c r="E21" i="2"/>
  <c r="E14" i="2"/>
  <c r="E15" i="2"/>
  <c r="L7" i="29" s="1"/>
  <c r="E16" i="2"/>
  <c r="L49" i="29" s="1"/>
  <c r="D49" i="29" s="1"/>
  <c r="E13" i="2"/>
  <c r="L145" i="29" s="1"/>
  <c r="E7" i="2"/>
  <c r="L33" i="29" s="1"/>
  <c r="E8" i="2"/>
  <c r="E9" i="2"/>
  <c r="L70" i="29" s="1"/>
  <c r="D70" i="29" s="1"/>
  <c r="E10" i="2"/>
  <c r="L66" i="29" s="1"/>
  <c r="E11" i="2"/>
  <c r="L131" i="29" s="1"/>
  <c r="E12" i="2"/>
  <c r="L100" i="29" s="1"/>
  <c r="E6" i="2"/>
  <c r="L133" i="29" s="1"/>
  <c r="D133" i="29" s="1"/>
  <c r="E4" i="2"/>
  <c r="L134" i="29" s="1"/>
  <c r="D134" i="29" s="1"/>
  <c r="E5" i="2"/>
  <c r="L6" i="29" s="1"/>
  <c r="E2" i="2"/>
  <c r="E3" i="2"/>
  <c r="D100" i="29" l="1"/>
  <c r="D31" i="29"/>
  <c r="D102" i="29"/>
  <c r="D103" i="29"/>
  <c r="D14" i="29"/>
  <c r="D15" i="29"/>
  <c r="D16" i="29"/>
  <c r="D97" i="29"/>
  <c r="D96" i="29"/>
  <c r="D43" i="29"/>
  <c r="D44" i="29"/>
  <c r="D12" i="29"/>
  <c r="D13" i="29"/>
  <c r="D20" i="29"/>
  <c r="D21" i="29"/>
  <c r="D22" i="29"/>
  <c r="D150" i="29"/>
  <c r="D151" i="29"/>
  <c r="D152" i="29"/>
  <c r="D68" i="29"/>
  <c r="D142" i="29"/>
  <c r="D26" i="29"/>
  <c r="D25" i="29"/>
  <c r="D60" i="29"/>
  <c r="D61" i="29"/>
  <c r="D47" i="29"/>
  <c r="D23" i="29"/>
  <c r="D24" i="29"/>
  <c r="D65" i="29"/>
  <c r="D66" i="29"/>
  <c r="D139" i="29"/>
  <c r="D140" i="29"/>
  <c r="D50" i="29"/>
  <c r="D51" i="29"/>
  <c r="D6" i="29"/>
  <c r="D7" i="29"/>
  <c r="D8" i="29"/>
  <c r="D148" i="29"/>
  <c r="D149" i="29"/>
  <c r="D53" i="29"/>
  <c r="D54" i="29"/>
  <c r="D55" i="29"/>
  <c r="D56" i="29"/>
  <c r="D124" i="29"/>
  <c r="D125" i="29"/>
  <c r="D114" i="29"/>
  <c r="D115" i="29"/>
  <c r="D130" i="29"/>
  <c r="D131" i="29"/>
  <c r="D132" i="29"/>
  <c r="D146" i="29"/>
  <c r="D147" i="29"/>
  <c r="D145" i="29"/>
  <c r="D143" i="29"/>
  <c r="D144" i="29"/>
  <c r="D33" i="29"/>
  <c r="D34" i="29"/>
  <c r="D35" i="29"/>
  <c r="D36" i="29"/>
  <c r="D37" i="29"/>
  <c r="D40" i="29"/>
  <c r="D41" i="29"/>
  <c r="D42" i="29"/>
  <c r="D137" i="29"/>
  <c r="D138" i="29"/>
  <c r="D46" i="29"/>
  <c r="D45" i="29"/>
  <c r="D109" i="29"/>
  <c r="D110" i="29"/>
  <c r="L112" i="29"/>
  <c r="D111" i="29" s="1"/>
  <c r="L113" i="29"/>
  <c r="D113" i="29" s="1"/>
  <c r="E3" i="21"/>
  <c r="L17" i="29"/>
  <c r="E4" i="21"/>
  <c r="L18" i="29"/>
  <c r="E7" i="25"/>
  <c r="L39" i="29"/>
  <c r="E11" i="25"/>
  <c r="L67" i="29"/>
  <c r="D67" i="29" s="1"/>
  <c r="L3" i="29"/>
  <c r="E2" i="25"/>
  <c r="L30" i="29"/>
  <c r="D30" i="29" s="1"/>
  <c r="E13" i="25"/>
  <c r="L64" i="29"/>
  <c r="D64" i="29" s="1"/>
  <c r="E15" i="25"/>
  <c r="L11" i="29"/>
  <c r="E9" i="25"/>
  <c r="L69" i="29"/>
  <c r="D69" i="29" s="1"/>
  <c r="E3" i="25"/>
  <c r="L9" i="29"/>
  <c r="E4" i="25"/>
  <c r="L10" i="29"/>
  <c r="E5" i="25"/>
  <c r="L38" i="29"/>
  <c r="L74" i="29"/>
  <c r="L73" i="29"/>
  <c r="L63" i="29"/>
  <c r="D63" i="29" s="1"/>
  <c r="L4" i="29"/>
  <c r="E5" i="21"/>
  <c r="J2" i="4"/>
  <c r="K2" i="4"/>
  <c r="W374" i="2"/>
  <c r="V374" i="2"/>
  <c r="U374" i="2"/>
  <c r="W373" i="2"/>
  <c r="V373" i="2"/>
  <c r="U373" i="2"/>
  <c r="W372" i="2"/>
  <c r="V372" i="2"/>
  <c r="U372" i="2"/>
  <c r="W371" i="2"/>
  <c r="V371" i="2"/>
  <c r="U371" i="2"/>
  <c r="W369" i="2"/>
  <c r="V369" i="2"/>
  <c r="U369" i="2"/>
  <c r="W370" i="2"/>
  <c r="V370" i="2"/>
  <c r="U370" i="2"/>
  <c r="W368" i="2"/>
  <c r="V368" i="2"/>
  <c r="U368" i="2"/>
  <c r="W367" i="2"/>
  <c r="V367" i="2"/>
  <c r="U367" i="2"/>
  <c r="W366" i="2"/>
  <c r="V366" i="2"/>
  <c r="U366" i="2"/>
  <c r="W365" i="2"/>
  <c r="V365" i="2"/>
  <c r="U365" i="2"/>
  <c r="W364" i="2"/>
  <c r="V364" i="2"/>
  <c r="U364" i="2"/>
  <c r="W362" i="2"/>
  <c r="V362" i="2"/>
  <c r="W363" i="2"/>
  <c r="V363" i="2"/>
  <c r="U363" i="2"/>
  <c r="W361" i="2"/>
  <c r="V361" i="2"/>
  <c r="U361" i="2"/>
  <c r="W360" i="2"/>
  <c r="V360" i="2"/>
  <c r="W359" i="2"/>
  <c r="V359" i="2"/>
  <c r="U359" i="2"/>
  <c r="W358" i="2"/>
  <c r="V358" i="2"/>
  <c r="U358" i="2"/>
  <c r="W357" i="2"/>
  <c r="V357" i="2"/>
  <c r="U357" i="2"/>
  <c r="W356" i="2"/>
  <c r="V356" i="2"/>
  <c r="U356" i="2"/>
  <c r="W355" i="2"/>
  <c r="V355" i="2"/>
  <c r="U355" i="2"/>
  <c r="W354" i="2"/>
  <c r="V354" i="2"/>
  <c r="U354" i="2"/>
  <c r="W353" i="2"/>
  <c r="V353" i="2"/>
  <c r="W352" i="2"/>
  <c r="U352" i="2"/>
  <c r="W351" i="2"/>
  <c r="V351" i="2"/>
  <c r="W350" i="2"/>
  <c r="V350" i="2"/>
  <c r="U350" i="2"/>
  <c r="W349" i="2"/>
  <c r="U349" i="2"/>
  <c r="W348" i="2"/>
  <c r="V348" i="2"/>
  <c r="W347" i="2"/>
  <c r="V347" i="2"/>
  <c r="W346" i="2"/>
  <c r="V346" i="2"/>
  <c r="W345" i="2"/>
  <c r="V345" i="2"/>
  <c r="U345" i="2"/>
  <c r="W343" i="2"/>
  <c r="V343" i="2"/>
  <c r="W344" i="2"/>
  <c r="V344" i="2"/>
  <c r="U344" i="2"/>
  <c r="W342" i="2"/>
  <c r="V342" i="2"/>
  <c r="W341" i="2"/>
  <c r="V341" i="2"/>
  <c r="U341" i="2"/>
  <c r="W340" i="2"/>
  <c r="V340" i="2"/>
  <c r="U340" i="2"/>
  <c r="W339" i="2"/>
  <c r="V339" i="2"/>
  <c r="W338" i="2"/>
  <c r="U338" i="2"/>
  <c r="W337" i="2"/>
  <c r="V337" i="2"/>
  <c r="U337" i="2"/>
  <c r="W336" i="2"/>
  <c r="V336" i="2"/>
  <c r="U336" i="2"/>
  <c r="W335" i="2"/>
  <c r="V335" i="2"/>
  <c r="W334" i="2"/>
  <c r="V334" i="2"/>
  <c r="U334" i="2"/>
  <c r="W333" i="2"/>
  <c r="V333" i="2"/>
  <c r="W332" i="2"/>
  <c r="V332" i="2"/>
  <c r="U332" i="2"/>
  <c r="W331" i="2"/>
  <c r="V331" i="2"/>
  <c r="W330" i="2"/>
  <c r="V330" i="2"/>
  <c r="W327" i="2"/>
  <c r="V327" i="2"/>
  <c r="W328" i="2"/>
  <c r="V328" i="2"/>
  <c r="W329" i="2"/>
  <c r="U329" i="2"/>
  <c r="W325" i="2"/>
  <c r="V325" i="2"/>
  <c r="W326" i="2"/>
  <c r="V326" i="2"/>
  <c r="U326" i="2"/>
  <c r="W323" i="2"/>
  <c r="V323" i="2"/>
  <c r="W324" i="2"/>
  <c r="V324" i="2"/>
  <c r="U324" i="2"/>
  <c r="W322" i="2"/>
  <c r="U322" i="2"/>
  <c r="W320" i="2"/>
  <c r="U320" i="2"/>
  <c r="W321" i="2"/>
  <c r="V321" i="2"/>
  <c r="U321" i="2"/>
  <c r="W319" i="2"/>
  <c r="V319" i="2"/>
  <c r="U319" i="2"/>
  <c r="W318" i="2"/>
  <c r="V318" i="2"/>
  <c r="U318" i="2"/>
  <c r="W317" i="2"/>
  <c r="V317" i="2"/>
  <c r="U317" i="2"/>
  <c r="W314" i="2"/>
  <c r="V314" i="2"/>
  <c r="W315" i="2"/>
  <c r="V315" i="2"/>
  <c r="W316" i="2"/>
  <c r="U316" i="2"/>
  <c r="W312" i="2"/>
  <c r="V312" i="2"/>
  <c r="W313" i="2"/>
  <c r="V313" i="2"/>
  <c r="W311" i="2"/>
  <c r="V311" i="2"/>
  <c r="W310" i="2"/>
  <c r="U310" i="2"/>
  <c r="W309" i="2"/>
  <c r="V309" i="2"/>
  <c r="W308" i="2"/>
  <c r="U308" i="2"/>
  <c r="W307" i="2"/>
  <c r="V307" i="2"/>
  <c r="W306" i="2"/>
  <c r="V306" i="2"/>
  <c r="U306" i="2"/>
  <c r="W303" i="2"/>
  <c r="V303" i="2"/>
  <c r="W304" i="2"/>
  <c r="V304" i="2"/>
  <c r="W305" i="2"/>
  <c r="U305" i="2"/>
  <c r="W302" i="2"/>
  <c r="V302" i="2"/>
  <c r="U302" i="2"/>
  <c r="W301" i="2"/>
  <c r="V301" i="2"/>
  <c r="U301" i="2"/>
  <c r="W299" i="2"/>
  <c r="U299" i="2"/>
  <c r="W300" i="2"/>
  <c r="U300" i="2"/>
  <c r="W298" i="2"/>
  <c r="V298" i="2"/>
  <c r="U298" i="2"/>
  <c r="W297" i="2"/>
  <c r="V297" i="2"/>
  <c r="U297" i="2"/>
  <c r="W296" i="2"/>
  <c r="U296" i="2"/>
  <c r="W295" i="2"/>
  <c r="U295" i="2"/>
  <c r="W292" i="2"/>
  <c r="V292" i="2"/>
  <c r="W293" i="2"/>
  <c r="V293" i="2"/>
  <c r="W294" i="2"/>
  <c r="V294" i="2"/>
  <c r="W291" i="2"/>
  <c r="V291" i="2"/>
  <c r="W290" i="2"/>
  <c r="U290" i="2"/>
  <c r="W287" i="2"/>
  <c r="V287" i="2"/>
  <c r="W289" i="2"/>
  <c r="V289" i="2"/>
  <c r="U289" i="2"/>
  <c r="W288" i="2"/>
  <c r="U288" i="2"/>
  <c r="W286" i="2"/>
  <c r="U286" i="2"/>
  <c r="W285" i="2"/>
  <c r="V285" i="2"/>
  <c r="W284" i="2"/>
  <c r="V284" i="2"/>
  <c r="U284" i="2"/>
  <c r="W283" i="2"/>
  <c r="V283" i="2"/>
  <c r="U283" i="2"/>
  <c r="W282" i="2"/>
  <c r="U282" i="2"/>
  <c r="V281" i="2"/>
  <c r="U281" i="2"/>
  <c r="W278" i="2"/>
  <c r="V278" i="2"/>
  <c r="W279" i="2"/>
  <c r="V279" i="2"/>
  <c r="W280" i="2"/>
  <c r="V280" i="2"/>
  <c r="W277" i="2"/>
  <c r="V277" i="2"/>
  <c r="W276" i="2"/>
  <c r="V276" i="2"/>
  <c r="U276" i="2"/>
  <c r="W275" i="2"/>
  <c r="U275" i="2"/>
  <c r="W273" i="2"/>
  <c r="U273" i="2"/>
  <c r="W274" i="2"/>
  <c r="U274" i="2"/>
  <c r="W272" i="2"/>
  <c r="V272" i="2"/>
  <c r="U272" i="2"/>
  <c r="W271" i="2"/>
  <c r="U271" i="2"/>
  <c r="W270" i="2"/>
  <c r="U270" i="2"/>
  <c r="W269" i="2"/>
  <c r="V269" i="2"/>
  <c r="W268" i="2"/>
  <c r="U268" i="2"/>
  <c r="W264" i="2"/>
  <c r="V264" i="2"/>
  <c r="W267" i="2"/>
  <c r="U267" i="2"/>
  <c r="W265" i="2"/>
  <c r="V265" i="2"/>
  <c r="V266" i="2"/>
  <c r="U266" i="2"/>
  <c r="V263" i="2"/>
  <c r="U263" i="2"/>
  <c r="W258" i="2"/>
  <c r="V258" i="2"/>
  <c r="W260" i="2"/>
  <c r="U260" i="2"/>
  <c r="W259" i="2"/>
  <c r="V259" i="2"/>
  <c r="W262" i="2"/>
  <c r="V262" i="2"/>
  <c r="U262" i="2"/>
  <c r="W261" i="2"/>
  <c r="U261" i="2"/>
  <c r="W257" i="2"/>
  <c r="U257" i="2"/>
  <c r="W256" i="2"/>
  <c r="V256" i="2"/>
  <c r="W254" i="2"/>
  <c r="V254" i="2"/>
  <c r="V255" i="2"/>
  <c r="U255" i="2"/>
  <c r="W251" i="2"/>
  <c r="V251" i="2"/>
  <c r="W253" i="2"/>
  <c r="U253" i="2"/>
  <c r="W252" i="2"/>
  <c r="V252" i="2"/>
  <c r="W248" i="2"/>
  <c r="V248" i="2"/>
  <c r="W249" i="2"/>
  <c r="V249" i="2"/>
  <c r="W250" i="2"/>
  <c r="U250" i="2"/>
  <c r="W242" i="2"/>
  <c r="U242" i="2"/>
  <c r="W243" i="2"/>
  <c r="U243" i="2"/>
  <c r="W246" i="2"/>
  <c r="V246" i="2"/>
  <c r="U246" i="2"/>
  <c r="W244" i="2"/>
  <c r="U244" i="2"/>
  <c r="V241" i="2"/>
  <c r="U241" i="2"/>
  <c r="W247" i="2"/>
  <c r="V247" i="2"/>
  <c r="U247" i="2"/>
  <c r="W245" i="2"/>
  <c r="U245" i="2"/>
  <c r="V238" i="2"/>
  <c r="U238" i="2"/>
  <c r="W240" i="2"/>
  <c r="V240" i="2"/>
  <c r="U240" i="2"/>
  <c r="W239" i="2"/>
  <c r="U239" i="2"/>
  <c r="W236" i="2"/>
  <c r="V236" i="2"/>
  <c r="W237" i="2"/>
  <c r="U237" i="2"/>
  <c r="W234" i="2"/>
  <c r="U234" i="2"/>
  <c r="W235" i="2"/>
  <c r="U235" i="2"/>
  <c r="V233" i="2"/>
  <c r="U233" i="2"/>
  <c r="W231" i="2"/>
  <c r="U231" i="2"/>
  <c r="W232" i="2"/>
  <c r="U232" i="2"/>
  <c r="W230" i="2"/>
  <c r="V230" i="2"/>
  <c r="U230" i="2"/>
  <c r="W229" i="2"/>
  <c r="V229" i="2"/>
  <c r="U229" i="2"/>
  <c r="V226" i="2"/>
  <c r="U226" i="2"/>
  <c r="V227" i="2"/>
  <c r="U227" i="2"/>
  <c r="V228" i="2"/>
  <c r="U228" i="2"/>
  <c r="W222" i="2"/>
  <c r="U222" i="2"/>
  <c r="W223" i="2"/>
  <c r="U223" i="2"/>
  <c r="W224" i="2"/>
  <c r="U224" i="2"/>
  <c r="W225" i="2"/>
  <c r="U225" i="2"/>
  <c r="V219" i="2"/>
  <c r="U219" i="2"/>
  <c r="V220" i="2"/>
  <c r="U220" i="2"/>
  <c r="W218" i="2"/>
  <c r="V218" i="2"/>
  <c r="V221" i="2"/>
  <c r="U221" i="2"/>
  <c r="V211" i="2"/>
  <c r="U211" i="2"/>
  <c r="W215" i="2"/>
  <c r="U215" i="2"/>
  <c r="W216" i="2"/>
  <c r="U216" i="2"/>
  <c r="W206" i="2"/>
  <c r="V206" i="2"/>
  <c r="W207" i="2"/>
  <c r="V207" i="2"/>
  <c r="W208" i="2"/>
  <c r="V208" i="2"/>
  <c r="W217" i="2"/>
  <c r="V217" i="2"/>
  <c r="U217" i="2"/>
  <c r="V212" i="2"/>
  <c r="U212" i="2"/>
  <c r="V213" i="2"/>
  <c r="U213" i="2"/>
  <c r="W209" i="2"/>
  <c r="V209" i="2"/>
  <c r="W210" i="2"/>
  <c r="V210" i="2"/>
  <c r="V214" i="2"/>
  <c r="U214" i="2"/>
  <c r="W205" i="2"/>
  <c r="V205" i="2"/>
  <c r="U205" i="2"/>
  <c r="W201" i="2"/>
  <c r="U201" i="2"/>
  <c r="W202" i="2"/>
  <c r="U202" i="2"/>
  <c r="W203" i="2"/>
  <c r="U203" i="2"/>
  <c r="V200" i="2"/>
  <c r="U200" i="2"/>
  <c r="W204" i="2"/>
  <c r="U204" i="2"/>
  <c r="W198" i="2"/>
  <c r="U198" i="2"/>
  <c r="W196" i="2"/>
  <c r="V196" i="2"/>
  <c r="W197" i="2"/>
  <c r="V197" i="2"/>
  <c r="W199" i="2"/>
  <c r="U199" i="2"/>
  <c r="W187" i="2"/>
  <c r="U187" i="2"/>
  <c r="W188" i="2"/>
  <c r="U188" i="2"/>
  <c r="W189" i="2"/>
  <c r="U189" i="2"/>
  <c r="W190" i="2"/>
  <c r="U190" i="2"/>
  <c r="W191" i="2"/>
  <c r="U191" i="2"/>
  <c r="W192" i="2"/>
  <c r="U192" i="2"/>
  <c r="W193" i="2"/>
  <c r="U193" i="2"/>
  <c r="W186" i="2"/>
  <c r="V186" i="2"/>
  <c r="W194" i="2"/>
  <c r="U194" i="2"/>
  <c r="W195" i="2"/>
  <c r="U195" i="2"/>
  <c r="W182" i="2"/>
  <c r="U182" i="2"/>
  <c r="V181" i="2"/>
  <c r="U181" i="2"/>
  <c r="W183" i="2"/>
  <c r="U183" i="2"/>
  <c r="W184" i="2"/>
  <c r="U184" i="2"/>
  <c r="W178" i="2"/>
  <c r="V178" i="2"/>
  <c r="W179" i="2"/>
  <c r="V179" i="2"/>
  <c r="W180" i="2"/>
  <c r="V180" i="2"/>
  <c r="W185" i="2"/>
  <c r="U185" i="2"/>
  <c r="W171" i="2"/>
  <c r="U171" i="2"/>
  <c r="W172" i="2"/>
  <c r="U172" i="2"/>
  <c r="W163" i="2"/>
  <c r="V163" i="2"/>
  <c r="W173" i="2"/>
  <c r="U173" i="2"/>
  <c r="W170" i="2"/>
  <c r="V170" i="2"/>
  <c r="U170" i="2"/>
  <c r="W174" i="2"/>
  <c r="U174" i="2"/>
  <c r="V164" i="2"/>
  <c r="U164" i="2"/>
  <c r="W175" i="2"/>
  <c r="U175" i="2"/>
  <c r="V165" i="2"/>
  <c r="U165" i="2"/>
  <c r="W177" i="2"/>
  <c r="V177" i="2"/>
  <c r="U177" i="2"/>
  <c r="V166" i="2"/>
  <c r="U166" i="2"/>
  <c r="V167" i="2"/>
  <c r="U167" i="2"/>
  <c r="W176" i="2"/>
  <c r="U176" i="2"/>
  <c r="V168" i="2"/>
  <c r="U168" i="2"/>
  <c r="V169" i="2"/>
  <c r="U169" i="2"/>
  <c r="W157" i="2"/>
  <c r="U157" i="2"/>
  <c r="W158" i="2"/>
  <c r="U158" i="2"/>
  <c r="V149" i="2"/>
  <c r="U149" i="2"/>
  <c r="V150" i="2"/>
  <c r="U150" i="2"/>
  <c r="V151" i="2"/>
  <c r="U151" i="2"/>
  <c r="V152" i="2"/>
  <c r="U152" i="2"/>
  <c r="W159" i="2"/>
  <c r="U159" i="2"/>
  <c r="V153" i="2"/>
  <c r="U153" i="2"/>
  <c r="V154" i="2"/>
  <c r="U154" i="2"/>
  <c r="V155" i="2"/>
  <c r="U155" i="2"/>
  <c r="W160" i="2"/>
  <c r="U160" i="2"/>
  <c r="W161" i="2"/>
  <c r="U161" i="2"/>
  <c r="W162" i="2"/>
  <c r="V162" i="2"/>
  <c r="U162" i="2"/>
  <c r="W147" i="2"/>
  <c r="V147" i="2"/>
  <c r="W148" i="2"/>
  <c r="V148" i="2"/>
  <c r="V156" i="2"/>
  <c r="U156" i="2"/>
  <c r="V139" i="2"/>
  <c r="U139" i="2"/>
  <c r="W143" i="2"/>
  <c r="U143" i="2"/>
  <c r="W135" i="2"/>
  <c r="V135" i="2"/>
  <c r="W144" i="2"/>
  <c r="U144" i="2"/>
  <c r="W145" i="2"/>
  <c r="V145" i="2"/>
  <c r="U145" i="2"/>
  <c r="W146" i="2"/>
  <c r="V146" i="2"/>
  <c r="U146" i="2"/>
  <c r="W136" i="2"/>
  <c r="V136" i="2"/>
  <c r="V140" i="2"/>
  <c r="U140" i="2"/>
  <c r="W137" i="2"/>
  <c r="V137" i="2"/>
  <c r="V141" i="2"/>
  <c r="U141" i="2"/>
  <c r="W138" i="2"/>
  <c r="V138" i="2"/>
  <c r="V142" i="2"/>
  <c r="U142" i="2"/>
  <c r="W123" i="2"/>
  <c r="U123" i="2"/>
  <c r="W130" i="2"/>
  <c r="V130" i="2"/>
  <c r="U130" i="2"/>
  <c r="W124" i="2"/>
  <c r="U124" i="2"/>
  <c r="W125" i="2"/>
  <c r="U125" i="2"/>
  <c r="W129" i="2"/>
  <c r="V129" i="2"/>
  <c r="U129" i="2"/>
  <c r="W126" i="2"/>
  <c r="U126" i="2"/>
  <c r="V122" i="2"/>
  <c r="U122" i="2"/>
  <c r="W120" i="2"/>
  <c r="V120" i="2"/>
  <c r="W127" i="2"/>
  <c r="U127" i="2"/>
  <c r="W131" i="2"/>
  <c r="V131" i="2"/>
  <c r="U131" i="2"/>
  <c r="W132" i="2"/>
  <c r="V132" i="2"/>
  <c r="U132" i="2"/>
  <c r="W133" i="2"/>
  <c r="V133" i="2"/>
  <c r="U133" i="2"/>
  <c r="W128" i="2"/>
  <c r="U128" i="2"/>
  <c r="W121" i="2"/>
  <c r="V121" i="2"/>
  <c r="W134" i="2"/>
  <c r="V134" i="2"/>
  <c r="U134" i="2"/>
  <c r="W113" i="2"/>
  <c r="V113" i="2"/>
  <c r="U113" i="2"/>
  <c r="W114" i="2"/>
  <c r="V114" i="2"/>
  <c r="U114" i="2"/>
  <c r="W117" i="2"/>
  <c r="V117" i="2"/>
  <c r="U117" i="2"/>
  <c r="W108" i="2"/>
  <c r="V108" i="2"/>
  <c r="V109" i="2"/>
  <c r="U109" i="2"/>
  <c r="W118" i="2"/>
  <c r="V118" i="2"/>
  <c r="U118" i="2"/>
  <c r="V110" i="2"/>
  <c r="U110" i="2"/>
  <c r="V111" i="2"/>
  <c r="U111" i="2"/>
  <c r="V112" i="2"/>
  <c r="U112" i="2"/>
  <c r="W115" i="2"/>
  <c r="U115" i="2"/>
  <c r="W119" i="2"/>
  <c r="V119" i="2"/>
  <c r="U119" i="2"/>
  <c r="W116" i="2"/>
  <c r="U116" i="2"/>
  <c r="W96" i="2"/>
  <c r="U96" i="2"/>
  <c r="W102" i="2"/>
  <c r="V102" i="2"/>
  <c r="U102" i="2"/>
  <c r="W103" i="2"/>
  <c r="V103" i="2"/>
  <c r="U103" i="2"/>
  <c r="W97" i="2"/>
  <c r="U97" i="2"/>
  <c r="V87" i="2"/>
  <c r="U87" i="2"/>
  <c r="W104" i="2"/>
  <c r="V104" i="2"/>
  <c r="U104" i="2"/>
  <c r="V88" i="2"/>
  <c r="U88" i="2"/>
  <c r="W105" i="2"/>
  <c r="V105" i="2"/>
  <c r="U105" i="2"/>
  <c r="V89" i="2"/>
  <c r="U89" i="2"/>
  <c r="W98" i="2"/>
  <c r="U98" i="2"/>
  <c r="V90" i="2"/>
  <c r="U90" i="2"/>
  <c r="V91" i="2"/>
  <c r="U91" i="2"/>
  <c r="V92" i="2"/>
  <c r="U92" i="2"/>
  <c r="W99" i="2"/>
  <c r="U99" i="2"/>
  <c r="V93" i="2"/>
  <c r="U93" i="2"/>
  <c r="W86" i="2"/>
  <c r="V86" i="2"/>
  <c r="W100" i="2"/>
  <c r="U100" i="2"/>
  <c r="W101" i="2"/>
  <c r="U101" i="2"/>
  <c r="V94" i="2"/>
  <c r="U94" i="2"/>
  <c r="V95" i="2"/>
  <c r="U95" i="2"/>
  <c r="W106" i="2"/>
  <c r="V106" i="2"/>
  <c r="U106" i="2"/>
  <c r="W107" i="2"/>
  <c r="V107" i="2"/>
  <c r="U107" i="2"/>
  <c r="V66" i="2"/>
  <c r="U66" i="2"/>
  <c r="W82" i="2"/>
  <c r="V82" i="2"/>
  <c r="U82" i="2"/>
  <c r="V67" i="2"/>
  <c r="U67" i="2"/>
  <c r="W81" i="2"/>
  <c r="V81" i="2"/>
  <c r="U81" i="2"/>
  <c r="V68" i="2"/>
  <c r="U68" i="2"/>
  <c r="W76" i="2"/>
  <c r="U76" i="2"/>
  <c r="V69" i="2"/>
  <c r="U69" i="2"/>
  <c r="V70" i="2"/>
  <c r="U70" i="2"/>
  <c r="W83" i="2"/>
  <c r="V83" i="2"/>
  <c r="U83" i="2"/>
  <c r="V71" i="2"/>
  <c r="U71" i="2"/>
  <c r="W77" i="2"/>
  <c r="U77" i="2"/>
  <c r="W84" i="2"/>
  <c r="V84" i="2"/>
  <c r="U84" i="2"/>
  <c r="W78" i="2"/>
  <c r="U78" i="2"/>
  <c r="V72" i="2"/>
  <c r="U72" i="2"/>
  <c r="V73" i="2"/>
  <c r="U73" i="2"/>
  <c r="V74" i="2"/>
  <c r="U74" i="2"/>
  <c r="W79" i="2"/>
  <c r="U79" i="2"/>
  <c r="W85" i="2"/>
  <c r="V85" i="2"/>
  <c r="U85" i="2"/>
  <c r="V75" i="2"/>
  <c r="U75" i="2"/>
  <c r="W80" i="2"/>
  <c r="U80" i="2"/>
  <c r="V48" i="2"/>
  <c r="U48" i="2"/>
  <c r="W47" i="2"/>
  <c r="V47" i="2"/>
  <c r="V49" i="2"/>
  <c r="U49" i="2"/>
  <c r="W57" i="2"/>
  <c r="U57" i="2"/>
  <c r="W58" i="2"/>
  <c r="U58" i="2"/>
  <c r="V50" i="2"/>
  <c r="U50" i="2"/>
  <c r="V51" i="2"/>
  <c r="U51" i="2"/>
  <c r="W59" i="2"/>
  <c r="U59" i="2"/>
  <c r="V52" i="2"/>
  <c r="U52" i="2"/>
  <c r="V53" i="2"/>
  <c r="U53" i="2"/>
  <c r="V54" i="2"/>
  <c r="U54" i="2"/>
  <c r="W60" i="2"/>
  <c r="U60" i="2"/>
  <c r="W61" i="2"/>
  <c r="U61" i="2"/>
  <c r="W63" i="2"/>
  <c r="V63" i="2"/>
  <c r="U63" i="2"/>
  <c r="V55" i="2"/>
  <c r="U55" i="2"/>
  <c r="W64" i="2"/>
  <c r="V64" i="2"/>
  <c r="U64" i="2"/>
  <c r="V56" i="2"/>
  <c r="U56" i="2"/>
  <c r="W62" i="2"/>
  <c r="U62" i="2"/>
  <c r="W65" i="2"/>
  <c r="V65" i="2"/>
  <c r="U65" i="2"/>
  <c r="W38" i="2"/>
  <c r="V38" i="2"/>
  <c r="W42" i="2"/>
  <c r="U42" i="2"/>
  <c r="V40" i="2"/>
  <c r="U40" i="2"/>
  <c r="W43" i="2"/>
  <c r="U43" i="2"/>
  <c r="W39" i="2"/>
  <c r="V39" i="2"/>
  <c r="W44" i="2"/>
  <c r="U44" i="2"/>
  <c r="W45" i="2"/>
  <c r="U45" i="2"/>
  <c r="W41" i="2"/>
  <c r="V41" i="2"/>
  <c r="U41" i="2"/>
  <c r="W46" i="2"/>
  <c r="U46" i="2"/>
  <c r="W31" i="2"/>
  <c r="U31" i="2"/>
  <c r="V24" i="2"/>
  <c r="U24" i="2"/>
  <c r="W32" i="2"/>
  <c r="U32" i="2"/>
  <c r="W33" i="2"/>
  <c r="U33" i="2"/>
  <c r="V25" i="2"/>
  <c r="U25" i="2"/>
  <c r="V26" i="2"/>
  <c r="U26" i="2"/>
  <c r="V27" i="2"/>
  <c r="U27" i="2"/>
  <c r="W22" i="2"/>
  <c r="V22" i="2"/>
  <c r="V28" i="2"/>
  <c r="U28" i="2"/>
  <c r="W36" i="2"/>
  <c r="V36" i="2"/>
  <c r="U36" i="2"/>
  <c r="W37" i="2"/>
  <c r="V37" i="2"/>
  <c r="U37" i="2"/>
  <c r="W34" i="2"/>
  <c r="U34" i="2"/>
  <c r="V29" i="2"/>
  <c r="U29" i="2"/>
  <c r="W35" i="2"/>
  <c r="U35" i="2"/>
  <c r="W23" i="2"/>
  <c r="V23" i="2"/>
  <c r="V30" i="2"/>
  <c r="U30" i="2"/>
  <c r="V7" i="2"/>
  <c r="U7" i="2"/>
  <c r="V8" i="2"/>
  <c r="U8" i="2"/>
  <c r="W6" i="2"/>
  <c r="V6" i="2"/>
  <c r="V9" i="2"/>
  <c r="U9" i="2"/>
  <c r="W14" i="2"/>
  <c r="U14" i="2"/>
  <c r="V10" i="2"/>
  <c r="U10" i="2"/>
  <c r="W17" i="2"/>
  <c r="V17" i="2"/>
  <c r="U17" i="2"/>
  <c r="W18" i="2"/>
  <c r="V18" i="2"/>
  <c r="U18" i="2"/>
  <c r="W19" i="2"/>
  <c r="V19" i="2"/>
  <c r="U19" i="2"/>
  <c r="W13" i="2"/>
  <c r="V13" i="2"/>
  <c r="U13" i="2"/>
  <c r="W15" i="2"/>
  <c r="U15" i="2"/>
  <c r="W16" i="2"/>
  <c r="U16" i="2"/>
  <c r="W20" i="2"/>
  <c r="V20" i="2"/>
  <c r="U20" i="2"/>
  <c r="V11" i="2"/>
  <c r="U11" i="2"/>
  <c r="V12" i="2"/>
  <c r="U12" i="2"/>
  <c r="W21" i="2"/>
  <c r="V21" i="2"/>
  <c r="U21" i="2"/>
  <c r="V2" i="2"/>
  <c r="U2" i="2"/>
  <c r="W4" i="2"/>
  <c r="V4" i="2"/>
  <c r="U4" i="2"/>
  <c r="W5" i="2"/>
  <c r="V5" i="2"/>
  <c r="U5" i="2"/>
  <c r="V3" i="2"/>
  <c r="U3" i="2"/>
  <c r="N374" i="2"/>
  <c r="N373" i="2"/>
  <c r="N372" i="2"/>
  <c r="N371" i="2"/>
  <c r="N369" i="2"/>
  <c r="N370" i="2"/>
  <c r="N368" i="2"/>
  <c r="N367" i="2"/>
  <c r="N366" i="2"/>
  <c r="N365" i="2"/>
  <c r="N364" i="2"/>
  <c r="N363" i="2"/>
  <c r="N361" i="2"/>
  <c r="N360" i="2"/>
  <c r="N359" i="2"/>
  <c r="N358" i="2"/>
  <c r="N357" i="2"/>
  <c r="N356" i="2"/>
  <c r="N355" i="2"/>
  <c r="N353" i="2"/>
  <c r="N352" i="2"/>
  <c r="N351" i="2"/>
  <c r="N350" i="2"/>
  <c r="N349" i="2"/>
  <c r="N347" i="2"/>
  <c r="N346" i="2"/>
  <c r="N345" i="2"/>
  <c r="N344" i="2"/>
  <c r="N342" i="2"/>
  <c r="N338" i="2"/>
  <c r="N336" i="2"/>
  <c r="N334" i="2"/>
  <c r="N331" i="2"/>
  <c r="N330" i="2"/>
  <c r="N327" i="2"/>
  <c r="N324" i="2"/>
  <c r="N322" i="2"/>
  <c r="N320" i="2"/>
  <c r="N321" i="2"/>
  <c r="N316" i="2"/>
  <c r="N311" i="2"/>
  <c r="N304" i="2"/>
  <c r="N305" i="2"/>
  <c r="N301" i="2"/>
  <c r="N299" i="2"/>
  <c r="N300" i="2"/>
  <c r="N298" i="2"/>
  <c r="N296" i="2"/>
  <c r="N293" i="2"/>
  <c r="N290" i="2"/>
  <c r="N288" i="2"/>
  <c r="N286" i="2"/>
  <c r="N282" i="2"/>
  <c r="N266" i="2"/>
  <c r="N250" i="2"/>
  <c r="N245" i="2"/>
  <c r="N223" i="2"/>
  <c r="N224" i="2"/>
  <c r="N218" i="2"/>
  <c r="N206" i="2"/>
  <c r="N202" i="2"/>
  <c r="N198" i="2"/>
  <c r="N196" i="2"/>
  <c r="N179" i="2"/>
  <c r="N168" i="2"/>
  <c r="N157" i="2"/>
  <c r="N108" i="2"/>
  <c r="N43" i="2"/>
  <c r="N45" i="2"/>
  <c r="K374" i="2"/>
  <c r="X374" i="2" s="1"/>
  <c r="K373" i="2"/>
  <c r="X373" i="2" s="1"/>
  <c r="K372" i="2"/>
  <c r="X372" i="2" s="1"/>
  <c r="K371" i="2"/>
  <c r="X371" i="2" s="1"/>
  <c r="K369" i="2"/>
  <c r="X369" i="2" s="1"/>
  <c r="K370" i="2"/>
  <c r="X370" i="2" s="1"/>
  <c r="K368" i="2"/>
  <c r="X368" i="2" s="1"/>
  <c r="K367" i="2"/>
  <c r="X367" i="2" s="1"/>
  <c r="K366" i="2"/>
  <c r="X366" i="2" s="1"/>
  <c r="K365" i="2"/>
  <c r="X365" i="2" s="1"/>
  <c r="K364" i="2"/>
  <c r="X364" i="2" s="1"/>
  <c r="K363" i="2"/>
  <c r="X363" i="2" s="1"/>
  <c r="K361" i="2"/>
  <c r="X361" i="2" s="1"/>
  <c r="K360" i="2"/>
  <c r="U360" i="2" s="1"/>
  <c r="K359" i="2"/>
  <c r="X359" i="2" s="1"/>
  <c r="K358" i="2"/>
  <c r="X358" i="2" s="1"/>
  <c r="K357" i="2"/>
  <c r="X357" i="2" s="1"/>
  <c r="K356" i="2"/>
  <c r="X356" i="2" s="1"/>
  <c r="K355" i="2"/>
  <c r="X355" i="2" s="1"/>
  <c r="K353" i="2"/>
  <c r="U353" i="2" s="1"/>
  <c r="K352" i="2"/>
  <c r="V352" i="2" s="1"/>
  <c r="K351" i="2"/>
  <c r="U351" i="2" s="1"/>
  <c r="K350" i="2"/>
  <c r="X350" i="2" s="1"/>
  <c r="K349" i="2"/>
  <c r="V349" i="2" s="1"/>
  <c r="K347" i="2"/>
  <c r="U347" i="2" s="1"/>
  <c r="K346" i="2"/>
  <c r="U346" i="2" s="1"/>
  <c r="K345" i="2"/>
  <c r="X345" i="2" s="1"/>
  <c r="K344" i="2"/>
  <c r="X344" i="2" s="1"/>
  <c r="K342" i="2"/>
  <c r="U342" i="2" s="1"/>
  <c r="K338" i="2"/>
  <c r="V338" i="2" s="1"/>
  <c r="K336" i="2"/>
  <c r="X336" i="2" s="1"/>
  <c r="K334" i="2"/>
  <c r="X334" i="2" s="1"/>
  <c r="K331" i="2"/>
  <c r="U331" i="2" s="1"/>
  <c r="K330" i="2"/>
  <c r="U330" i="2" s="1"/>
  <c r="K327" i="2"/>
  <c r="U327" i="2" s="1"/>
  <c r="K324" i="2"/>
  <c r="X324" i="2" s="1"/>
  <c r="K322" i="2"/>
  <c r="V322" i="2" s="1"/>
  <c r="K320" i="2"/>
  <c r="V320" i="2" s="1"/>
  <c r="K321" i="2"/>
  <c r="X321" i="2" s="1"/>
  <c r="K316" i="2"/>
  <c r="V316" i="2" s="1"/>
  <c r="K311" i="2"/>
  <c r="U311" i="2" s="1"/>
  <c r="K304" i="2"/>
  <c r="U304" i="2" s="1"/>
  <c r="K305" i="2"/>
  <c r="V305" i="2" s="1"/>
  <c r="K301" i="2"/>
  <c r="X301" i="2" s="1"/>
  <c r="K299" i="2"/>
  <c r="V299" i="2" s="1"/>
  <c r="K300" i="2"/>
  <c r="V300" i="2" s="1"/>
  <c r="K298" i="2"/>
  <c r="X298" i="2" s="1"/>
  <c r="K296" i="2"/>
  <c r="V296" i="2" s="1"/>
  <c r="K293" i="2"/>
  <c r="U293" i="2" s="1"/>
  <c r="K290" i="2"/>
  <c r="V290" i="2" s="1"/>
  <c r="K288" i="2"/>
  <c r="V288" i="2" s="1"/>
  <c r="K286" i="2"/>
  <c r="V286" i="2" s="1"/>
  <c r="K282" i="2"/>
  <c r="V282" i="2" s="1"/>
  <c r="K266" i="2"/>
  <c r="W266" i="2" s="1"/>
  <c r="K250" i="2"/>
  <c r="V250" i="2" s="1"/>
  <c r="K245" i="2"/>
  <c r="V245" i="2" s="1"/>
  <c r="K223" i="2"/>
  <c r="V223" i="2" s="1"/>
  <c r="K224" i="2"/>
  <c r="V224" i="2" s="1"/>
  <c r="K218" i="2"/>
  <c r="U218" i="2" s="1"/>
  <c r="K206" i="2"/>
  <c r="U206" i="2" s="1"/>
  <c r="K202" i="2"/>
  <c r="V202" i="2" s="1"/>
  <c r="K198" i="2"/>
  <c r="V198" i="2" s="1"/>
  <c r="K196" i="2"/>
  <c r="U196" i="2" s="1"/>
  <c r="K179" i="2"/>
  <c r="U179" i="2" s="1"/>
  <c r="K168" i="2"/>
  <c r="W168" i="2" s="1"/>
  <c r="K157" i="2"/>
  <c r="V157" i="2" s="1"/>
  <c r="K108" i="2"/>
  <c r="U108" i="2" s="1"/>
  <c r="K43" i="2"/>
  <c r="V43" i="2" s="1"/>
  <c r="K45" i="2"/>
  <c r="V45" i="2" s="1"/>
  <c r="M280" i="2"/>
  <c r="M272" i="2"/>
  <c r="M268" i="2"/>
  <c r="M264" i="2"/>
  <c r="M267" i="2"/>
  <c r="M265" i="2"/>
  <c r="M261" i="2"/>
  <c r="M255" i="2"/>
  <c r="M246" i="2"/>
  <c r="M241" i="2"/>
  <c r="M237" i="2"/>
  <c r="M222" i="2"/>
  <c r="M207" i="2"/>
  <c r="M210" i="2"/>
  <c r="M205" i="2"/>
  <c r="M187" i="2"/>
  <c r="M191" i="2"/>
  <c r="M194" i="2"/>
  <c r="M184" i="2"/>
  <c r="M178" i="2"/>
  <c r="M171" i="2"/>
  <c r="M163" i="2"/>
  <c r="M173" i="2"/>
  <c r="M170" i="2"/>
  <c r="M177" i="2"/>
  <c r="M169" i="2"/>
  <c r="M151" i="2"/>
  <c r="M154" i="2"/>
  <c r="M160" i="2"/>
  <c r="M161" i="2"/>
  <c r="M162" i="2"/>
  <c r="M143" i="2"/>
  <c r="M135" i="2"/>
  <c r="M137" i="2"/>
  <c r="M141" i="2"/>
  <c r="M129" i="2"/>
  <c r="M126" i="2"/>
  <c r="M127" i="2"/>
  <c r="M121" i="2"/>
  <c r="M113" i="2"/>
  <c r="M118" i="2"/>
  <c r="M110" i="2"/>
  <c r="M115" i="2"/>
  <c r="M119" i="2"/>
  <c r="M96" i="2"/>
  <c r="M103" i="2"/>
  <c r="M104" i="2"/>
  <c r="M88" i="2"/>
  <c r="M105" i="2"/>
  <c r="M90" i="2"/>
  <c r="M91" i="2"/>
  <c r="M99" i="2"/>
  <c r="M93" i="2"/>
  <c r="M86" i="2"/>
  <c r="M107" i="2"/>
  <c r="M66" i="2"/>
  <c r="M67" i="2"/>
  <c r="M81" i="2"/>
  <c r="M68" i="2"/>
  <c r="M69" i="2"/>
  <c r="M83" i="2"/>
  <c r="M71" i="2"/>
  <c r="M77" i="2"/>
  <c r="M84" i="2"/>
  <c r="M78" i="2"/>
  <c r="M72" i="2"/>
  <c r="M73" i="2"/>
  <c r="M74" i="2"/>
  <c r="M75" i="2"/>
  <c r="M48" i="2"/>
  <c r="M47" i="2"/>
  <c r="M51" i="2"/>
  <c r="M52" i="2"/>
  <c r="M53" i="2"/>
  <c r="M63" i="2"/>
  <c r="M64" i="2"/>
  <c r="M56" i="2"/>
  <c r="M38" i="2"/>
  <c r="M40" i="2"/>
  <c r="M39" i="2"/>
  <c r="M41" i="2"/>
  <c r="M46" i="2"/>
  <c r="M33" i="2"/>
  <c r="M26" i="2"/>
  <c r="M27" i="2"/>
  <c r="M37" i="2"/>
  <c r="M30" i="2"/>
  <c r="M6" i="2"/>
  <c r="M9" i="2"/>
  <c r="M10" i="2"/>
  <c r="M13" i="2"/>
  <c r="M11" i="2"/>
  <c r="M12" i="2"/>
  <c r="M4" i="2"/>
  <c r="J280" i="2"/>
  <c r="J272" i="2"/>
  <c r="J268" i="2"/>
  <c r="J264" i="2"/>
  <c r="J267" i="2"/>
  <c r="J265" i="2"/>
  <c r="J261" i="2"/>
  <c r="J255" i="2"/>
  <c r="J246" i="2"/>
  <c r="J241" i="2"/>
  <c r="J237" i="2"/>
  <c r="J222" i="2"/>
  <c r="J207" i="2"/>
  <c r="J210" i="2"/>
  <c r="J205" i="2"/>
  <c r="J187" i="2"/>
  <c r="J191" i="2"/>
  <c r="J194" i="2"/>
  <c r="J184" i="2"/>
  <c r="J178" i="2"/>
  <c r="J171" i="2"/>
  <c r="J163" i="2"/>
  <c r="J173" i="2"/>
  <c r="J170" i="2"/>
  <c r="J177" i="2"/>
  <c r="J169" i="2"/>
  <c r="J151" i="2"/>
  <c r="J154" i="2"/>
  <c r="J160" i="2"/>
  <c r="J161" i="2"/>
  <c r="J162" i="2"/>
  <c r="J143" i="2"/>
  <c r="J135" i="2"/>
  <c r="J137" i="2"/>
  <c r="J141" i="2"/>
  <c r="J129" i="2"/>
  <c r="J126" i="2"/>
  <c r="J127" i="2"/>
  <c r="J121" i="2"/>
  <c r="J113" i="2"/>
  <c r="J118" i="2"/>
  <c r="J110" i="2"/>
  <c r="J115" i="2"/>
  <c r="J119" i="2"/>
  <c r="J96" i="2"/>
  <c r="J103" i="2"/>
  <c r="J104" i="2"/>
  <c r="J88" i="2"/>
  <c r="J105" i="2"/>
  <c r="J90" i="2"/>
  <c r="J91" i="2"/>
  <c r="J99" i="2"/>
  <c r="J93" i="2"/>
  <c r="J86" i="2"/>
  <c r="J107" i="2"/>
  <c r="J66" i="2"/>
  <c r="J67" i="2"/>
  <c r="J81" i="2"/>
  <c r="J68" i="2"/>
  <c r="J69" i="2"/>
  <c r="J83" i="2"/>
  <c r="J71" i="2"/>
  <c r="J77" i="2"/>
  <c r="J84" i="2"/>
  <c r="J78" i="2"/>
  <c r="J72" i="2"/>
  <c r="J73" i="2"/>
  <c r="J74" i="2"/>
  <c r="J75" i="2"/>
  <c r="J48" i="2"/>
  <c r="J47" i="2"/>
  <c r="J51" i="2"/>
  <c r="J52" i="2"/>
  <c r="J53" i="2"/>
  <c r="J63" i="2"/>
  <c r="J64" i="2"/>
  <c r="J56" i="2"/>
  <c r="J38" i="2"/>
  <c r="J40" i="2"/>
  <c r="J39" i="2"/>
  <c r="J41" i="2"/>
  <c r="J46" i="2"/>
  <c r="J33" i="2"/>
  <c r="J26" i="2"/>
  <c r="J27" i="2"/>
  <c r="J37" i="2"/>
  <c r="J30" i="2"/>
  <c r="J6" i="2"/>
  <c r="J9" i="2"/>
  <c r="J10" i="2"/>
  <c r="J13" i="2"/>
  <c r="J11" i="2"/>
  <c r="J12" i="2"/>
  <c r="J4" i="2"/>
  <c r="H374" i="2"/>
  <c r="H373" i="2"/>
  <c r="H372" i="2"/>
  <c r="H371" i="2"/>
  <c r="H369" i="2"/>
  <c r="H370" i="2"/>
  <c r="H368" i="2"/>
  <c r="H367" i="2"/>
  <c r="H366" i="2"/>
  <c r="H365" i="2"/>
  <c r="H364" i="2"/>
  <c r="H362" i="2"/>
  <c r="H363" i="2"/>
  <c r="H361" i="2"/>
  <c r="H360" i="2"/>
  <c r="H359" i="2"/>
  <c r="H358" i="2"/>
  <c r="H357" i="2"/>
  <c r="H356" i="2"/>
  <c r="H355" i="2"/>
  <c r="H354" i="2"/>
  <c r="H353" i="2"/>
  <c r="H352" i="2"/>
  <c r="H351" i="2"/>
  <c r="H350" i="2"/>
  <c r="H349" i="2"/>
  <c r="H348" i="2"/>
  <c r="H347" i="2"/>
  <c r="H346" i="2"/>
  <c r="H345" i="2"/>
  <c r="H343" i="2"/>
  <c r="H344" i="2"/>
  <c r="H342" i="2"/>
  <c r="H341" i="2"/>
  <c r="H340" i="2"/>
  <c r="H339" i="2"/>
  <c r="H338" i="2"/>
  <c r="H337" i="2"/>
  <c r="H336" i="2"/>
  <c r="H335" i="2"/>
  <c r="H334" i="2"/>
  <c r="H333" i="2"/>
  <c r="H332" i="2"/>
  <c r="H331" i="2"/>
  <c r="H330" i="2"/>
  <c r="H327" i="2"/>
  <c r="H328" i="2"/>
  <c r="H329" i="2"/>
  <c r="H325" i="2"/>
  <c r="H326" i="2"/>
  <c r="H323" i="2"/>
  <c r="H324" i="2"/>
  <c r="H322" i="2"/>
  <c r="H320" i="2"/>
  <c r="H321" i="2"/>
  <c r="H319" i="2"/>
  <c r="H318" i="2"/>
  <c r="H317" i="2"/>
  <c r="H314" i="2"/>
  <c r="H315" i="2"/>
  <c r="H316" i="2"/>
  <c r="H312" i="2"/>
  <c r="H313" i="2"/>
  <c r="H311" i="2"/>
  <c r="H310" i="2"/>
  <c r="H309" i="2"/>
  <c r="H308" i="2"/>
  <c r="H307" i="2"/>
  <c r="H306" i="2"/>
  <c r="H303" i="2"/>
  <c r="H304" i="2"/>
  <c r="H305" i="2"/>
  <c r="H302" i="2"/>
  <c r="H301" i="2"/>
  <c r="H299" i="2"/>
  <c r="H300" i="2"/>
  <c r="H298" i="2"/>
  <c r="H297" i="2"/>
  <c r="H296" i="2"/>
  <c r="H295" i="2"/>
  <c r="H292" i="2"/>
  <c r="H293" i="2"/>
  <c r="H294" i="2"/>
  <c r="H291" i="2"/>
  <c r="H290" i="2"/>
  <c r="H287" i="2"/>
  <c r="H289" i="2"/>
  <c r="H288" i="2"/>
  <c r="H286" i="2"/>
  <c r="H285" i="2"/>
  <c r="H284" i="2"/>
  <c r="H283" i="2"/>
  <c r="H282" i="2"/>
  <c r="H281" i="2"/>
  <c r="H278" i="2"/>
  <c r="H279" i="2"/>
  <c r="H280" i="2"/>
  <c r="H277" i="2"/>
  <c r="H276" i="2"/>
  <c r="H275" i="2"/>
  <c r="H273" i="2"/>
  <c r="H274" i="2"/>
  <c r="H272" i="2"/>
  <c r="H271" i="2"/>
  <c r="H270" i="2"/>
  <c r="H269" i="2"/>
  <c r="H268" i="2"/>
  <c r="H264" i="2"/>
  <c r="H267" i="2"/>
  <c r="H265" i="2"/>
  <c r="H266" i="2"/>
  <c r="H263" i="2"/>
  <c r="H258" i="2"/>
  <c r="H260" i="2"/>
  <c r="H259" i="2"/>
  <c r="H262" i="2"/>
  <c r="H261" i="2"/>
  <c r="H257" i="2"/>
  <c r="H256" i="2"/>
  <c r="H254" i="2"/>
  <c r="H255" i="2"/>
  <c r="H251" i="2"/>
  <c r="H253" i="2"/>
  <c r="H252" i="2"/>
  <c r="H248" i="2"/>
  <c r="H249" i="2"/>
  <c r="H250" i="2"/>
  <c r="H242" i="2"/>
  <c r="H243" i="2"/>
  <c r="H246" i="2"/>
  <c r="H244" i="2"/>
  <c r="H241" i="2"/>
  <c r="H247" i="2"/>
  <c r="H245" i="2"/>
  <c r="H238" i="2"/>
  <c r="H240" i="2"/>
  <c r="H239" i="2"/>
  <c r="H236" i="2"/>
  <c r="H237" i="2"/>
  <c r="H234" i="2"/>
  <c r="H235" i="2"/>
  <c r="H233" i="2"/>
  <c r="H231" i="2"/>
  <c r="H232" i="2"/>
  <c r="H230" i="2"/>
  <c r="H229" i="2"/>
  <c r="H226" i="2"/>
  <c r="H227" i="2"/>
  <c r="H228" i="2"/>
  <c r="H222" i="2"/>
  <c r="H223" i="2"/>
  <c r="H224" i="2"/>
  <c r="H225" i="2"/>
  <c r="H219" i="2"/>
  <c r="H220" i="2"/>
  <c r="H218" i="2"/>
  <c r="H221" i="2"/>
  <c r="H211" i="2"/>
  <c r="H215" i="2"/>
  <c r="H216" i="2"/>
  <c r="H206" i="2"/>
  <c r="H207" i="2"/>
  <c r="H208" i="2"/>
  <c r="H217" i="2"/>
  <c r="H212" i="2"/>
  <c r="H213" i="2"/>
  <c r="H209" i="2"/>
  <c r="H210" i="2"/>
  <c r="H214" i="2"/>
  <c r="H205" i="2"/>
  <c r="H201" i="2"/>
  <c r="H202" i="2"/>
  <c r="H203" i="2"/>
  <c r="H200" i="2"/>
  <c r="H204" i="2"/>
  <c r="H198" i="2"/>
  <c r="H196" i="2"/>
  <c r="H197" i="2"/>
  <c r="H199" i="2"/>
  <c r="H187" i="2"/>
  <c r="H188" i="2"/>
  <c r="H189" i="2"/>
  <c r="H190" i="2"/>
  <c r="H191" i="2"/>
  <c r="H192" i="2"/>
  <c r="H193" i="2"/>
  <c r="H186" i="2"/>
  <c r="H194" i="2"/>
  <c r="H195" i="2"/>
  <c r="H182" i="2"/>
  <c r="H181" i="2"/>
  <c r="H183" i="2"/>
  <c r="H184" i="2"/>
  <c r="H178" i="2"/>
  <c r="H179" i="2"/>
  <c r="H180" i="2"/>
  <c r="H185" i="2"/>
  <c r="H171" i="2"/>
  <c r="H172" i="2"/>
  <c r="H163" i="2"/>
  <c r="H173" i="2"/>
  <c r="H170" i="2"/>
  <c r="H174" i="2"/>
  <c r="H164" i="2"/>
  <c r="H175" i="2"/>
  <c r="H165" i="2"/>
  <c r="H177" i="2"/>
  <c r="H166" i="2"/>
  <c r="H167" i="2"/>
  <c r="H176" i="2"/>
  <c r="H168" i="2"/>
  <c r="H169" i="2"/>
  <c r="H157" i="2"/>
  <c r="H158" i="2"/>
  <c r="H149" i="2"/>
  <c r="H150" i="2"/>
  <c r="H151" i="2"/>
  <c r="H152" i="2"/>
  <c r="H159" i="2"/>
  <c r="H153" i="2"/>
  <c r="H154" i="2"/>
  <c r="H155" i="2"/>
  <c r="H160" i="2"/>
  <c r="H161" i="2"/>
  <c r="H162" i="2"/>
  <c r="H147" i="2"/>
  <c r="H148" i="2"/>
  <c r="H156" i="2"/>
  <c r="H139" i="2"/>
  <c r="H143" i="2"/>
  <c r="H135" i="2"/>
  <c r="H144" i="2"/>
  <c r="H145" i="2"/>
  <c r="H146" i="2"/>
  <c r="H136" i="2"/>
  <c r="H140" i="2"/>
  <c r="H137" i="2"/>
  <c r="H141" i="2"/>
  <c r="H138" i="2"/>
  <c r="H142" i="2"/>
  <c r="H123" i="2"/>
  <c r="H130" i="2"/>
  <c r="H124" i="2"/>
  <c r="H125" i="2"/>
  <c r="H129" i="2"/>
  <c r="H126" i="2"/>
  <c r="H122" i="2"/>
  <c r="H120" i="2"/>
  <c r="H127" i="2"/>
  <c r="H131" i="2"/>
  <c r="H132" i="2"/>
  <c r="H133" i="2"/>
  <c r="H128" i="2"/>
  <c r="H121" i="2"/>
  <c r="H134" i="2"/>
  <c r="H113" i="2"/>
  <c r="H114" i="2"/>
  <c r="H117" i="2"/>
  <c r="H108" i="2"/>
  <c r="H109" i="2"/>
  <c r="H118" i="2"/>
  <c r="H110" i="2"/>
  <c r="H111" i="2"/>
  <c r="H112" i="2"/>
  <c r="H115" i="2"/>
  <c r="H119" i="2"/>
  <c r="H116" i="2"/>
  <c r="H96" i="2"/>
  <c r="H102" i="2"/>
  <c r="H103" i="2"/>
  <c r="H97" i="2"/>
  <c r="H87" i="2"/>
  <c r="H104" i="2"/>
  <c r="H88" i="2"/>
  <c r="H105" i="2"/>
  <c r="H89" i="2"/>
  <c r="H98" i="2"/>
  <c r="H90" i="2"/>
  <c r="H91" i="2"/>
  <c r="H92" i="2"/>
  <c r="H99" i="2"/>
  <c r="H93" i="2"/>
  <c r="H86" i="2"/>
  <c r="H100" i="2"/>
  <c r="H101" i="2"/>
  <c r="H94" i="2"/>
  <c r="H95" i="2"/>
  <c r="H106" i="2"/>
  <c r="H107" i="2"/>
  <c r="H66" i="2"/>
  <c r="H82" i="2"/>
  <c r="H67" i="2"/>
  <c r="H81" i="2"/>
  <c r="H68" i="2"/>
  <c r="H76" i="2"/>
  <c r="H69" i="2"/>
  <c r="H70" i="2"/>
  <c r="H83" i="2"/>
  <c r="H71" i="2"/>
  <c r="H77" i="2"/>
  <c r="H84" i="2"/>
  <c r="H78" i="2"/>
  <c r="H72" i="2"/>
  <c r="H73" i="2"/>
  <c r="H74" i="2"/>
  <c r="H79" i="2"/>
  <c r="H85" i="2"/>
  <c r="H75" i="2"/>
  <c r="H80" i="2"/>
  <c r="H48" i="2"/>
  <c r="H47" i="2"/>
  <c r="H49" i="2"/>
  <c r="H57" i="2"/>
  <c r="H58" i="2"/>
  <c r="H50" i="2"/>
  <c r="H51" i="2"/>
  <c r="H59" i="2"/>
  <c r="H52" i="2"/>
  <c r="H53" i="2"/>
  <c r="H54" i="2"/>
  <c r="H60" i="2"/>
  <c r="H61" i="2"/>
  <c r="H63" i="2"/>
  <c r="H55" i="2"/>
  <c r="H64" i="2"/>
  <c r="H56" i="2"/>
  <c r="H62" i="2"/>
  <c r="H65" i="2"/>
  <c r="H38" i="2"/>
  <c r="H42" i="2"/>
  <c r="H40" i="2"/>
  <c r="H43" i="2"/>
  <c r="H39" i="2"/>
  <c r="H44" i="2"/>
  <c r="H45" i="2"/>
  <c r="H41" i="2"/>
  <c r="H46" i="2"/>
  <c r="H31" i="2"/>
  <c r="H24" i="2"/>
  <c r="H32" i="2"/>
  <c r="H33" i="2"/>
  <c r="H25" i="2"/>
  <c r="H26" i="2"/>
  <c r="H27" i="2"/>
  <c r="H22" i="2"/>
  <c r="H28" i="2"/>
  <c r="H36" i="2"/>
  <c r="H37" i="2"/>
  <c r="H34" i="2"/>
  <c r="H29" i="2"/>
  <c r="H35" i="2"/>
  <c r="H23" i="2"/>
  <c r="H30" i="2"/>
  <c r="H7" i="2"/>
  <c r="H8" i="2"/>
  <c r="H6" i="2"/>
  <c r="H9" i="2"/>
  <c r="H14" i="2"/>
  <c r="H10" i="2"/>
  <c r="H17" i="2"/>
  <c r="H18" i="2"/>
  <c r="H19" i="2"/>
  <c r="H13" i="2"/>
  <c r="H15" i="2"/>
  <c r="H16" i="2"/>
  <c r="H20" i="2"/>
  <c r="H11" i="2"/>
  <c r="H12" i="2"/>
  <c r="H21" i="2"/>
  <c r="H2" i="2"/>
  <c r="H4" i="2"/>
  <c r="H5" i="2"/>
  <c r="H3" i="2"/>
  <c r="F277" i="2"/>
  <c r="F123" i="2"/>
  <c r="F317" i="2"/>
  <c r="F230" i="2"/>
  <c r="F286" i="2"/>
  <c r="F66" i="2"/>
  <c r="F264" i="2"/>
  <c r="F48" i="2"/>
  <c r="G48" i="2" s="1"/>
  <c r="F82" i="2"/>
  <c r="G82" i="2" s="1"/>
  <c r="F31" i="2"/>
  <c r="G31" i="2" s="1"/>
  <c r="F47" i="2"/>
  <c r="F282" i="2"/>
  <c r="F327" i="2"/>
  <c r="G327" i="2" s="1"/>
  <c r="F234" i="2"/>
  <c r="G234" i="2" s="1"/>
  <c r="F287" i="2"/>
  <c r="F373" i="2"/>
  <c r="F96" i="2"/>
  <c r="F24" i="2"/>
  <c r="G24" i="2" s="1"/>
  <c r="F139" i="2"/>
  <c r="F328" i="2"/>
  <c r="G328" i="2" s="1"/>
  <c r="F374" i="2"/>
  <c r="F7" i="2"/>
  <c r="G7" i="2" s="1"/>
  <c r="F157" i="2"/>
  <c r="F229" i="2"/>
  <c r="G229" i="2" s="1"/>
  <c r="F143" i="2"/>
  <c r="G143" i="2" s="1"/>
  <c r="F67" i="2"/>
  <c r="G67" i="2" s="1"/>
  <c r="F301" i="2"/>
  <c r="F81" i="2"/>
  <c r="F358" i="2"/>
  <c r="F113" i="2"/>
  <c r="F365" i="2"/>
  <c r="F325" i="2"/>
  <c r="F8" i="2"/>
  <c r="G8" i="2" s="1"/>
  <c r="F290" i="2"/>
  <c r="F258" i="2"/>
  <c r="G258" i="2" s="1"/>
  <c r="F352" i="2"/>
  <c r="F38" i="2"/>
  <c r="F6" i="2"/>
  <c r="G6" i="2" s="1"/>
  <c r="F337" i="2"/>
  <c r="F68" i="2"/>
  <c r="F298" i="2"/>
  <c r="F273" i="2"/>
  <c r="F347" i="2"/>
  <c r="F219" i="2"/>
  <c r="F341" i="2"/>
  <c r="F171" i="2"/>
  <c r="G171" i="2" s="1"/>
  <c r="F182" i="2"/>
  <c r="F32" i="2"/>
  <c r="G32" i="2" s="1"/>
  <c r="F9" i="2"/>
  <c r="G9" i="2" s="1"/>
  <c r="F198" i="2"/>
  <c r="F135" i="2"/>
  <c r="G135" i="2" s="1"/>
  <c r="F187" i="2"/>
  <c r="G187" i="2" s="1"/>
  <c r="F114" i="2"/>
  <c r="F102" i="2"/>
  <c r="G102" i="2" s="1"/>
  <c r="F172" i="2"/>
  <c r="F144" i="2"/>
  <c r="F267" i="2"/>
  <c r="F205" i="2"/>
  <c r="G205" i="2" s="1"/>
  <c r="F260" i="2"/>
  <c r="G260" i="2" s="1"/>
  <c r="F42" i="2"/>
  <c r="F211" i="2"/>
  <c r="G211" i="2" s="1"/>
  <c r="F362" i="2"/>
  <c r="F158" i="2"/>
  <c r="F259" i="2"/>
  <c r="F40" i="2"/>
  <c r="G40" i="2" s="1"/>
  <c r="F312" i="2"/>
  <c r="G312" i="2" s="1"/>
  <c r="F188" i="2"/>
  <c r="F215" i="2"/>
  <c r="G215" i="2" s="1"/>
  <c r="F189" i="2"/>
  <c r="G189" i="2" s="1"/>
  <c r="F76" i="2"/>
  <c r="G76" i="2" s="1"/>
  <c r="F149" i="2"/>
  <c r="F216" i="2"/>
  <c r="F14" i="2"/>
  <c r="G14" i="2" s="1"/>
  <c r="F181" i="2"/>
  <c r="G181" i="2" s="1"/>
  <c r="F270" i="2"/>
  <c r="F10" i="2"/>
  <c r="F343" i="2"/>
  <c r="F117" i="2"/>
  <c r="G117" i="2" s="1"/>
  <c r="F49" i="2"/>
  <c r="G49" i="2" s="1"/>
  <c r="F339" i="2"/>
  <c r="F17" i="2"/>
  <c r="G17" i="2" s="1"/>
  <c r="F332" i="2"/>
  <c r="F278" i="2"/>
  <c r="G278" i="2" s="1"/>
  <c r="F295" i="2"/>
  <c r="F190" i="2"/>
  <c r="F130" i="2"/>
  <c r="F183" i="2"/>
  <c r="G183" i="2" s="1"/>
  <c r="F103" i="2"/>
  <c r="F69" i="2"/>
  <c r="F57" i="2"/>
  <c r="G57" i="2" s="1"/>
  <c r="F238" i="2"/>
  <c r="F368" i="2"/>
  <c r="F372" i="2"/>
  <c r="F371" i="2"/>
  <c r="F150" i="2"/>
  <c r="G150" i="2" s="1"/>
  <c r="F318" i="2"/>
  <c r="F124" i="2"/>
  <c r="F201" i="2"/>
  <c r="G201" i="2" s="1"/>
  <c r="I201" i="2" s="1"/>
  <c r="K201" i="2" s="1"/>
  <c r="V201" i="2" s="1"/>
  <c r="F70" i="2"/>
  <c r="G70" i="2" s="1"/>
  <c r="F202" i="2"/>
  <c r="F191" i="2"/>
  <c r="F206" i="2"/>
  <c r="F257" i="2"/>
  <c r="F43" i="2"/>
  <c r="G43" i="2" s="1"/>
  <c r="F39" i="2"/>
  <c r="G39" i="2" s="1"/>
  <c r="F97" i="2"/>
  <c r="G97" i="2" s="1"/>
  <c r="F145" i="2"/>
  <c r="F58" i="2"/>
  <c r="G58" i="2" s="1"/>
  <c r="F262" i="2"/>
  <c r="F108" i="2"/>
  <c r="G108" i="2" s="1"/>
  <c r="F50" i="2"/>
  <c r="G50" i="2" s="1"/>
  <c r="F51" i="2"/>
  <c r="G51" i="2" s="1"/>
  <c r="F33" i="2"/>
  <c r="F222" i="2"/>
  <c r="F83" i="2"/>
  <c r="F242" i="2"/>
  <c r="F87" i="2"/>
  <c r="G87" i="2" s="1"/>
  <c r="F184" i="2"/>
  <c r="F125" i="2"/>
  <c r="G125" i="2" s="1"/>
  <c r="F223" i="2"/>
  <c r="F163" i="2"/>
  <c r="F59" i="2"/>
  <c r="G59" i="2" s="1"/>
  <c r="F240" i="2"/>
  <c r="F369" i="2"/>
  <c r="F146" i="2"/>
  <c r="F129" i="2"/>
  <c r="F109" i="2"/>
  <c r="G109" i="2" s="1"/>
  <c r="F331" i="2"/>
  <c r="F178" i="2"/>
  <c r="G178" i="2" s="1"/>
  <c r="F353" i="2"/>
  <c r="F151" i="2"/>
  <c r="F152" i="2"/>
  <c r="G152" i="2" s="1"/>
  <c r="F361" i="2"/>
  <c r="G361" i="2" s="1"/>
  <c r="F243" i="2"/>
  <c r="G243" i="2" s="1"/>
  <c r="F126" i="2"/>
  <c r="G126" i="2" s="1"/>
  <c r="F224" i="2"/>
  <c r="F104" i="2"/>
  <c r="G104" i="2" s="1"/>
  <c r="F118" i="2"/>
  <c r="G118" i="2" s="1"/>
  <c r="F18" i="2"/>
  <c r="G18" i="2" s="1"/>
  <c r="F179" i="2"/>
  <c r="G179" i="2" s="1"/>
  <c r="F355" i="2"/>
  <c r="F231" i="2"/>
  <c r="G231" i="2" s="1"/>
  <c r="I231" i="2" s="1"/>
  <c r="K231" i="2" s="1"/>
  <c r="V231" i="2" s="1"/>
  <c r="F279" i="2"/>
  <c r="G279" i="2" s="1"/>
  <c r="F25" i="2"/>
  <c r="G25" i="2" s="1"/>
  <c r="F71" i="2"/>
  <c r="F220" i="2"/>
  <c r="F326" i="2"/>
  <c r="F246" i="2"/>
  <c r="F207" i="2"/>
  <c r="F52" i="2"/>
  <c r="F88" i="2"/>
  <c r="G88" i="2" s="1"/>
  <c r="F173" i="2"/>
  <c r="F53" i="2"/>
  <c r="G53" i="2" s="1"/>
  <c r="F263" i="2"/>
  <c r="F136" i="2"/>
  <c r="F314" i="2"/>
  <c r="F26" i="2"/>
  <c r="F265" i="2"/>
  <c r="G265" i="2" s="1"/>
  <c r="F323" i="2"/>
  <c r="F170" i="2"/>
  <c r="F122" i="2"/>
  <c r="F120" i="2"/>
  <c r="G120" i="2" s="1"/>
  <c r="F306" i="2"/>
  <c r="F274" i="2"/>
  <c r="F105" i="2"/>
  <c r="F254" i="2"/>
  <c r="G254" i="2" s="1"/>
  <c r="F127" i="2"/>
  <c r="F308" i="2"/>
  <c r="G308" i="2" s="1"/>
  <c r="F44" i="2"/>
  <c r="G44" i="2" s="1"/>
  <c r="F27" i="2"/>
  <c r="G27" i="2" s="1"/>
  <c r="F89" i="2"/>
  <c r="G89" i="2" s="1"/>
  <c r="F251" i="2"/>
  <c r="F159" i="2"/>
  <c r="G159" i="2" s="1"/>
  <c r="F276" i="2"/>
  <c r="F98" i="2"/>
  <c r="G98" i="2" s="1"/>
  <c r="F236" i="2"/>
  <c r="G236" i="2" s="1"/>
  <c r="F351" i="2"/>
  <c r="G351" i="2" s="1"/>
  <c r="F315" i="2"/>
  <c r="G315" i="2" s="1"/>
  <c r="F192" i="2"/>
  <c r="F19" i="2"/>
  <c r="G19" i="2" s="1"/>
  <c r="F90" i="2"/>
  <c r="G90" i="2" s="1"/>
  <c r="F13" i="2"/>
  <c r="G13" i="2" s="1"/>
  <c r="F2" i="2"/>
  <c r="G2" i="2" s="1"/>
  <c r="F255" i="2"/>
  <c r="G255" i="2" s="1"/>
  <c r="F54" i="2"/>
  <c r="F174" i="2"/>
  <c r="F284" i="2"/>
  <c r="F338" i="2"/>
  <c r="F266" i="2"/>
  <c r="G266" i="2" s="1"/>
  <c r="F60" i="2"/>
  <c r="F196" i="2"/>
  <c r="G196" i="2" s="1"/>
  <c r="F313" i="2"/>
  <c r="G313" i="2" s="1"/>
  <c r="F208" i="2"/>
  <c r="F110" i="2"/>
  <c r="F226" i="2"/>
  <c r="G226" i="2" s="1"/>
  <c r="F320" i="2"/>
  <c r="F237" i="2"/>
  <c r="F272" i="2"/>
  <c r="G272" i="2" s="1"/>
  <c r="I272" i="2" s="1"/>
  <c r="K272" i="2" s="1"/>
  <c r="X272" i="2" s="1"/>
  <c r="F22" i="2"/>
  <c r="F153" i="2"/>
  <c r="F4" i="2"/>
  <c r="F154" i="2"/>
  <c r="G154" i="2" s="1"/>
  <c r="F239" i="2"/>
  <c r="F180" i="2"/>
  <c r="F91" i="2"/>
  <c r="G91" i="2" s="1"/>
  <c r="F77" i="2"/>
  <c r="F217" i="2"/>
  <c r="G217" i="2" s="1"/>
  <c r="F197" i="2"/>
  <c r="F111" i="2"/>
  <c r="F28" i="2"/>
  <c r="G28" i="2" s="1"/>
  <c r="F203" i="2"/>
  <c r="G203" i="2" s="1"/>
  <c r="F112" i="2"/>
  <c r="F244" i="2"/>
  <c r="F61" i="2"/>
  <c r="G61" i="2" s="1"/>
  <c r="F212" i="2"/>
  <c r="F131" i="2"/>
  <c r="G131" i="2" s="1"/>
  <c r="F155" i="2"/>
  <c r="F289" i="2"/>
  <c r="F334" i="2"/>
  <c r="F132" i="2"/>
  <c r="F299" i="2"/>
  <c r="F329" i="2"/>
  <c r="G329" i="2" s="1"/>
  <c r="F92" i="2"/>
  <c r="F15" i="2"/>
  <c r="G15" i="2" s="1"/>
  <c r="F364" i="2"/>
  <c r="F360" i="2"/>
  <c r="G360" i="2" s="1"/>
  <c r="F340" i="2"/>
  <c r="F36" i="2"/>
  <c r="F288" i="2"/>
  <c r="F321" i="2"/>
  <c r="F63" i="2"/>
  <c r="F285" i="2"/>
  <c r="F193" i="2"/>
  <c r="F213" i="2"/>
  <c r="F37" i="2"/>
  <c r="G37" i="2" s="1"/>
  <c r="F99" i="2"/>
  <c r="F164" i="2"/>
  <c r="G164" i="2" s="1"/>
  <c r="F93" i="2"/>
  <c r="G93" i="2" s="1"/>
  <c r="F209" i="2"/>
  <c r="F115" i="2"/>
  <c r="G115" i="2" s="1"/>
  <c r="F175" i="2"/>
  <c r="F218" i="2"/>
  <c r="G218" i="2" s="1"/>
  <c r="F16" i="2"/>
  <c r="G16" i="2" s="1"/>
  <c r="F241" i="2"/>
  <c r="G241" i="2" s="1"/>
  <c r="F84" i="2"/>
  <c r="F160" i="2"/>
  <c r="F310" i="2"/>
  <c r="F292" i="2"/>
  <c r="G292" i="2" s="1"/>
  <c r="F119" i="2"/>
  <c r="G119" i="2" s="1"/>
  <c r="F165" i="2"/>
  <c r="F34" i="2"/>
  <c r="G34" i="2" s="1"/>
  <c r="F161" i="2"/>
  <c r="G161" i="2" s="1"/>
  <c r="F227" i="2"/>
  <c r="F248" i="2"/>
  <c r="G248" i="2" s="1"/>
  <c r="F293" i="2"/>
  <c r="F45" i="2"/>
  <c r="G45" i="2" s="1"/>
  <c r="F253" i="2"/>
  <c r="F356" i="2"/>
  <c r="F78" i="2"/>
  <c r="F302" i="2"/>
  <c r="F29" i="2"/>
  <c r="F133" i="2"/>
  <c r="G133" i="2" s="1"/>
  <c r="F177" i="2"/>
  <c r="F5" i="2"/>
  <c r="G5" i="2" s="1"/>
  <c r="F303" i="2"/>
  <c r="F247" i="2"/>
  <c r="F86" i="2"/>
  <c r="G86" i="2" s="1"/>
  <c r="F200" i="2"/>
  <c r="F72" i="2"/>
  <c r="F367" i="2"/>
  <c r="F116" i="2"/>
  <c r="F166" i="2"/>
  <c r="F128" i="2"/>
  <c r="G128" i="2" s="1"/>
  <c r="F300" i="2"/>
  <c r="F256" i="2"/>
  <c r="F336" i="2"/>
  <c r="F55" i="2"/>
  <c r="F235" i="2"/>
  <c r="F64" i="2"/>
  <c r="G64" i="2" s="1"/>
  <c r="F140" i="2"/>
  <c r="F309" i="2"/>
  <c r="F41" i="2"/>
  <c r="G41" i="2" s="1"/>
  <c r="F330" i="2"/>
  <c r="F304" i="2"/>
  <c r="F167" i="2"/>
  <c r="F346" i="2"/>
  <c r="G346" i="2" s="1"/>
  <c r="F56" i="2"/>
  <c r="G56" i="2" s="1"/>
  <c r="F354" i="2"/>
  <c r="F100" i="2"/>
  <c r="G100" i="2" s="1"/>
  <c r="F46" i="2"/>
  <c r="F101" i="2"/>
  <c r="G101" i="2" s="1"/>
  <c r="F280" i="2"/>
  <c r="F3" i="2"/>
  <c r="F261" i="2"/>
  <c r="F363" i="2"/>
  <c r="F162" i="2"/>
  <c r="G162" i="2" s="1"/>
  <c r="F245" i="2"/>
  <c r="G245" i="2" s="1"/>
  <c r="F249" i="2"/>
  <c r="F20" i="2"/>
  <c r="G20" i="2" s="1"/>
  <c r="F283" i="2"/>
  <c r="F94" i="2"/>
  <c r="G94" i="2" s="1"/>
  <c r="F73" i="2"/>
  <c r="G73" i="2" s="1"/>
  <c r="F35" i="2"/>
  <c r="F225" i="2"/>
  <c r="F359" i="2"/>
  <c r="F269" i="2"/>
  <c r="G269" i="2" s="1"/>
  <c r="F366" i="2"/>
  <c r="F345" i="2"/>
  <c r="F137" i="2"/>
  <c r="G137" i="2" s="1"/>
  <c r="F141" i="2"/>
  <c r="G141" i="2" s="1"/>
  <c r="F147" i="2"/>
  <c r="G147" i="2" s="1"/>
  <c r="F121" i="2"/>
  <c r="F291" i="2"/>
  <c r="G291" i="2" s="1"/>
  <c r="F186" i="2"/>
  <c r="F74" i="2"/>
  <c r="F370" i="2"/>
  <c r="F342" i="2"/>
  <c r="G342" i="2" s="1"/>
  <c r="F148" i="2"/>
  <c r="F79" i="2"/>
  <c r="G79" i="2" s="1"/>
  <c r="F95" i="2"/>
  <c r="G95" i="2" s="1"/>
  <c r="F23" i="2"/>
  <c r="G23" i="2" s="1"/>
  <c r="F138" i="2"/>
  <c r="G138" i="2" s="1"/>
  <c r="F357" i="2"/>
  <c r="F322" i="2"/>
  <c r="G322" i="2" s="1"/>
  <c r="F275" i="2"/>
  <c r="F228" i="2"/>
  <c r="F232" i="2"/>
  <c r="G232" i="2" s="1"/>
  <c r="F194" i="2"/>
  <c r="G194" i="2" s="1"/>
  <c r="F85" i="2"/>
  <c r="F281" i="2"/>
  <c r="F176" i="2"/>
  <c r="F221" i="2"/>
  <c r="F142" i="2"/>
  <c r="F204" i="2"/>
  <c r="F11" i="2"/>
  <c r="G11" i="2" s="1"/>
  <c r="F210" i="2"/>
  <c r="G210" i="2" s="1"/>
  <c r="F348" i="2"/>
  <c r="F75" i="2"/>
  <c r="G75" i="2" s="1"/>
  <c r="F12" i="2"/>
  <c r="F156" i="2"/>
  <c r="F62" i="2"/>
  <c r="F335" i="2"/>
  <c r="F80" i="2"/>
  <c r="F65" i="2"/>
  <c r="G65" i="2" s="1"/>
  <c r="F250" i="2"/>
  <c r="G250" i="2" s="1"/>
  <c r="F214" i="2"/>
  <c r="F106" i="2"/>
  <c r="G106" i="2" s="1"/>
  <c r="F252" i="2"/>
  <c r="F305" i="2"/>
  <c r="F30" i="2"/>
  <c r="F316" i="2"/>
  <c r="F350" i="2"/>
  <c r="F21" i="2"/>
  <c r="G21" i="2" s="1"/>
  <c r="F333" i="2"/>
  <c r="F134" i="2"/>
  <c r="G134" i="2" s="1"/>
  <c r="F349" i="2"/>
  <c r="F168" i="2"/>
  <c r="F195" i="2"/>
  <c r="F107" i="2"/>
  <c r="G107" i="2" s="1"/>
  <c r="F185" i="2"/>
  <c r="F324" i="2"/>
  <c r="F319" i="2"/>
  <c r="F268" i="2"/>
  <c r="F199" i="2"/>
  <c r="F297" i="2"/>
  <c r="F311" i="2"/>
  <c r="F271" i="2"/>
  <c r="F294" i="2"/>
  <c r="F169" i="2"/>
  <c r="G169" i="2" s="1"/>
  <c r="F344" i="2"/>
  <c r="F307" i="2"/>
  <c r="F296" i="2"/>
  <c r="F233" i="2"/>
  <c r="F2" i="29" l="1"/>
  <c r="F3" i="29" s="1"/>
  <c r="F4" i="29" s="1"/>
  <c r="F5" i="29" s="1"/>
  <c r="F6" i="29" s="1"/>
  <c r="F7" i="29" s="1"/>
  <c r="F8" i="29" s="1"/>
  <c r="F9" i="29" s="1"/>
  <c r="F10" i="29" s="1"/>
  <c r="F11" i="29" s="1"/>
  <c r="F12" i="29" s="1"/>
  <c r="F13" i="29" s="1"/>
  <c r="F14" i="29" s="1"/>
  <c r="F15" i="29" s="1"/>
  <c r="F16" i="29" s="1"/>
  <c r="F17" i="29" s="1"/>
  <c r="F18" i="29" s="1"/>
  <c r="F19" i="29" s="1"/>
  <c r="F20" i="29" s="1"/>
  <c r="F21" i="29" s="1"/>
  <c r="F22" i="29" s="1"/>
  <c r="F23" i="29" s="1"/>
  <c r="F24" i="29" s="1"/>
  <c r="F25" i="29" s="1"/>
  <c r="F26" i="29" s="1"/>
  <c r="F27" i="29" s="1"/>
  <c r="F28" i="29" s="1"/>
  <c r="F29" i="29" s="1"/>
  <c r="F30" i="29" s="1"/>
  <c r="F31" i="29" s="1"/>
  <c r="F32" i="29" s="1"/>
  <c r="F33" i="29" s="1"/>
  <c r="F34" i="29" s="1"/>
  <c r="F35" i="29" s="1"/>
  <c r="F36" i="29" s="1"/>
  <c r="F37" i="29" s="1"/>
  <c r="F38" i="29" s="1"/>
  <c r="F39" i="29" s="1"/>
  <c r="F40" i="29" s="1"/>
  <c r="F41" i="29" s="1"/>
  <c r="F42" i="29" s="1"/>
  <c r="F43" i="29" s="1"/>
  <c r="F44" i="29" s="1"/>
  <c r="F45" i="29" s="1"/>
  <c r="F46" i="29" s="1"/>
  <c r="F47" i="29" s="1"/>
  <c r="F48" i="29" s="1"/>
  <c r="F49" i="29" s="1"/>
  <c r="F50" i="29" s="1"/>
  <c r="F51" i="29" s="1"/>
  <c r="F52" i="29" s="1"/>
  <c r="F53" i="29" s="1"/>
  <c r="F54" i="29" s="1"/>
  <c r="F55" i="29" s="1"/>
  <c r="F56" i="29" s="1"/>
  <c r="F57" i="29" s="1"/>
  <c r="F58" i="29" s="1"/>
  <c r="F59" i="29" s="1"/>
  <c r="F60" i="29" s="1"/>
  <c r="F61" i="29" s="1"/>
  <c r="F62" i="29" s="1"/>
  <c r="F63" i="29" s="1"/>
  <c r="F64" i="29" s="1"/>
  <c r="F65" i="29" s="1"/>
  <c r="F66" i="29" s="1"/>
  <c r="F67" i="29" s="1"/>
  <c r="F68" i="29" s="1"/>
  <c r="F69" i="29" s="1"/>
  <c r="F70" i="29" s="1"/>
  <c r="F71" i="29" s="1"/>
  <c r="F72" i="29" s="1"/>
  <c r="F73" i="29" s="1"/>
  <c r="F74" i="29" s="1"/>
  <c r="F75" i="29" s="1"/>
  <c r="F76" i="29" s="1"/>
  <c r="F77" i="29" s="1"/>
  <c r="F78" i="29" s="1"/>
  <c r="F79" i="29" s="1"/>
  <c r="F80" i="29" s="1"/>
  <c r="F81" i="29" s="1"/>
  <c r="F82" i="29" s="1"/>
  <c r="F83" i="29" s="1"/>
  <c r="F84" i="29" s="1"/>
  <c r="F85" i="29" s="1"/>
  <c r="F86" i="29" s="1"/>
  <c r="F87" i="29" s="1"/>
  <c r="F88" i="29" s="1"/>
  <c r="F89" i="29" s="1"/>
  <c r="F90" i="29" s="1"/>
  <c r="F91" i="29" s="1"/>
  <c r="F92" i="29" s="1"/>
  <c r="F93" i="29" s="1"/>
  <c r="F94" i="29" s="1"/>
  <c r="F95" i="29" s="1"/>
  <c r="F96" i="29" s="1"/>
  <c r="F97" i="29" s="1"/>
  <c r="F98" i="29" s="1"/>
  <c r="F99" i="29" s="1"/>
  <c r="F100" i="29" s="1"/>
  <c r="F101" i="29" s="1"/>
  <c r="F102" i="29" s="1"/>
  <c r="F103" i="29" s="1"/>
  <c r="F104" i="29" s="1"/>
  <c r="F105" i="29" s="1"/>
  <c r="F106" i="29" s="1"/>
  <c r="F107" i="29" s="1"/>
  <c r="F108" i="29" s="1"/>
  <c r="F109" i="29" s="1"/>
  <c r="F110" i="29" s="1"/>
  <c r="F111" i="29" s="1"/>
  <c r="F112" i="29" s="1"/>
  <c r="F113" i="29" s="1"/>
  <c r="F114" i="29" s="1"/>
  <c r="F115" i="29" s="1"/>
  <c r="F116" i="29" s="1"/>
  <c r="F117" i="29" s="1"/>
  <c r="F118" i="29" s="1"/>
  <c r="F119" i="29" s="1"/>
  <c r="F120" i="29" s="1"/>
  <c r="F121" i="29" s="1"/>
  <c r="F122" i="29" s="1"/>
  <c r="F123" i="29" s="1"/>
  <c r="F124" i="29" s="1"/>
  <c r="F125" i="29" s="1"/>
  <c r="F126" i="29" s="1"/>
  <c r="F127" i="29" s="1"/>
  <c r="F128" i="29" s="1"/>
  <c r="F129" i="29" s="1"/>
  <c r="F130" i="29" s="1"/>
  <c r="F131" i="29" s="1"/>
  <c r="F132" i="29" s="1"/>
  <c r="F133" i="29" s="1"/>
  <c r="F134" i="29" s="1"/>
  <c r="F135" i="29" s="1"/>
  <c r="F136" i="29" s="1"/>
  <c r="F137" i="29" s="1"/>
  <c r="F138" i="29" s="1"/>
  <c r="F139" i="29" s="1"/>
  <c r="F140" i="29" s="1"/>
  <c r="F141" i="29" s="1"/>
  <c r="F142" i="29" s="1"/>
  <c r="F143" i="29" s="1"/>
  <c r="F144" i="29" s="1"/>
  <c r="F145" i="29" s="1"/>
  <c r="F146" i="29" s="1"/>
  <c r="F147" i="29" s="1"/>
  <c r="F148" i="29" s="1"/>
  <c r="F149" i="29" s="1"/>
  <c r="F150" i="29" s="1"/>
  <c r="F151" i="29" s="1"/>
  <c r="F152" i="29" s="1"/>
  <c r="E2" i="29"/>
  <c r="D73" i="29"/>
  <c r="E73" i="29" s="1"/>
  <c r="D74" i="29"/>
  <c r="E74" i="29" s="1"/>
  <c r="D75" i="29"/>
  <c r="E75" i="29" s="1"/>
  <c r="D3" i="29"/>
  <c r="E3" i="29" s="1"/>
  <c r="D4" i="29"/>
  <c r="E4" i="29" s="1"/>
  <c r="D5" i="29"/>
  <c r="E5" i="29" s="1"/>
  <c r="D38" i="29"/>
  <c r="E38" i="29" s="1"/>
  <c r="D39" i="29"/>
  <c r="E39" i="29" s="1"/>
  <c r="D9" i="29"/>
  <c r="E9" i="29" s="1"/>
  <c r="D10" i="29"/>
  <c r="E10" i="29" s="1"/>
  <c r="D11" i="29"/>
  <c r="E11" i="29" s="1"/>
  <c r="D112" i="29"/>
  <c r="E112" i="29" s="1"/>
  <c r="D17" i="29"/>
  <c r="E17" i="29" s="1"/>
  <c r="D18" i="29"/>
  <c r="E18" i="29" s="1"/>
  <c r="D19" i="29"/>
  <c r="E19" i="29" s="1"/>
  <c r="E141" i="29"/>
  <c r="E111" i="29"/>
  <c r="E6" i="29"/>
  <c r="E135" i="29"/>
  <c r="E147" i="29"/>
  <c r="E120" i="29"/>
  <c r="E100" i="29"/>
  <c r="E16" i="29"/>
  <c r="E121" i="29"/>
  <c r="E124" i="29"/>
  <c r="E148" i="29"/>
  <c r="E149" i="29"/>
  <c r="E126" i="29"/>
  <c r="E122" i="29"/>
  <c r="E125" i="29"/>
  <c r="E123" i="29"/>
  <c r="E119" i="29"/>
  <c r="E117" i="29"/>
  <c r="E116" i="29"/>
  <c r="E140" i="29"/>
  <c r="E118" i="29"/>
  <c r="E114" i="29"/>
  <c r="E115" i="29"/>
  <c r="E110" i="29"/>
  <c r="E54" i="29"/>
  <c r="E70" i="29"/>
  <c r="E113" i="29"/>
  <c r="E55" i="29"/>
  <c r="E68" i="29"/>
  <c r="E150" i="29"/>
  <c r="E151" i="29"/>
  <c r="E152" i="29"/>
  <c r="E37" i="29"/>
  <c r="E84" i="29"/>
  <c r="E48" i="29"/>
  <c r="E107" i="29"/>
  <c r="E99" i="29"/>
  <c r="E26" i="29"/>
  <c r="E137" i="29"/>
  <c r="E95" i="29"/>
  <c r="E29" i="29"/>
  <c r="E139" i="29"/>
  <c r="E33" i="29"/>
  <c r="E129" i="29"/>
  <c r="E41" i="29"/>
  <c r="E34" i="29"/>
  <c r="E105" i="29"/>
  <c r="E79" i="29"/>
  <c r="E20" i="29"/>
  <c r="E102" i="29"/>
  <c r="E76" i="29"/>
  <c r="E21" i="29"/>
  <c r="E136" i="29"/>
  <c r="E22" i="29"/>
  <c r="E46" i="29"/>
  <c r="E145" i="29"/>
  <c r="E8" i="29"/>
  <c r="E80" i="29"/>
  <c r="E97" i="29"/>
  <c r="E59" i="29"/>
  <c r="E146" i="29"/>
  <c r="E12" i="29"/>
  <c r="E82" i="29"/>
  <c r="E58" i="29"/>
  <c r="E89" i="29"/>
  <c r="E67" i="29"/>
  <c r="E130" i="29"/>
  <c r="E13" i="29"/>
  <c r="E94" i="29"/>
  <c r="E31" i="29"/>
  <c r="E131" i="29"/>
  <c r="E15" i="29"/>
  <c r="E62" i="29"/>
  <c r="E132" i="29"/>
  <c r="E14" i="29"/>
  <c r="E25" i="29"/>
  <c r="E60" i="29"/>
  <c r="E87" i="29"/>
  <c r="E44" i="29"/>
  <c r="E128" i="29"/>
  <c r="E52" i="29"/>
  <c r="E69" i="29"/>
  <c r="E40" i="29"/>
  <c r="E109" i="29"/>
  <c r="E81" i="29"/>
  <c r="E61" i="29"/>
  <c r="E72" i="29"/>
  <c r="E43" i="29"/>
  <c r="E103" i="29"/>
  <c r="E92" i="29"/>
  <c r="E42" i="29"/>
  <c r="E106" i="29"/>
  <c r="E77" i="29"/>
  <c r="E93" i="29"/>
  <c r="E96" i="29"/>
  <c r="E90" i="29"/>
  <c r="E36" i="29"/>
  <c r="E65" i="29"/>
  <c r="E127" i="29"/>
  <c r="E28" i="29"/>
  <c r="E83" i="29"/>
  <c r="E88" i="29"/>
  <c r="E86" i="29"/>
  <c r="E142" i="29"/>
  <c r="E35" i="29"/>
  <c r="E66" i="29"/>
  <c r="E56" i="29"/>
  <c r="E51" i="29"/>
  <c r="E98" i="29"/>
  <c r="E78" i="29"/>
  <c r="E108" i="29"/>
  <c r="E104" i="29"/>
  <c r="E91" i="29"/>
  <c r="E143" i="29"/>
  <c r="E27" i="29"/>
  <c r="E53" i="29"/>
  <c r="E50" i="29"/>
  <c r="E85" i="29"/>
  <c r="E23" i="29"/>
  <c r="E57" i="29"/>
  <c r="E101" i="29"/>
  <c r="E133" i="29"/>
  <c r="E30" i="29"/>
  <c r="E144" i="29"/>
  <c r="E7" i="29"/>
  <c r="E71" i="29"/>
  <c r="E49" i="29"/>
  <c r="E32" i="29"/>
  <c r="E24" i="29"/>
  <c r="E47" i="29"/>
  <c r="E45" i="29"/>
  <c r="E138" i="29"/>
  <c r="E134" i="29"/>
  <c r="E64" i="29"/>
  <c r="E1" i="21"/>
  <c r="D1" i="21" s="1"/>
  <c r="E63" i="29"/>
  <c r="J201" i="2"/>
  <c r="J231" i="2"/>
  <c r="I106" i="2"/>
  <c r="K106" i="2" s="1"/>
  <c r="I150" i="2"/>
  <c r="K150" i="2" s="1"/>
  <c r="W150" i="2" s="1"/>
  <c r="I279" i="2"/>
  <c r="K279" i="2" s="1"/>
  <c r="U279" i="2" s="1"/>
  <c r="I109" i="2"/>
  <c r="I162" i="2"/>
  <c r="K162" i="2" s="1"/>
  <c r="X162" i="2" s="1"/>
  <c r="I2" i="4"/>
  <c r="I115" i="2"/>
  <c r="K115" i="2" s="1"/>
  <c r="V115" i="2" s="1"/>
  <c r="I51" i="2"/>
  <c r="K51" i="2" s="1"/>
  <c r="W51" i="2" s="1"/>
  <c r="I171" i="2"/>
  <c r="K171" i="2" s="1"/>
  <c r="V171" i="2" s="1"/>
  <c r="I13" i="2"/>
  <c r="K13" i="2" s="1"/>
  <c r="I73" i="2"/>
  <c r="K73" i="2" s="1"/>
  <c r="W73" i="2" s="1"/>
  <c r="I67" i="2"/>
  <c r="K67" i="2" s="1"/>
  <c r="W67" i="2" s="1"/>
  <c r="I125" i="2"/>
  <c r="I65" i="2"/>
  <c r="I360" i="2"/>
  <c r="J360" i="2" s="1"/>
  <c r="I164" i="2"/>
  <c r="I351" i="2"/>
  <c r="J351" i="2" s="1"/>
  <c r="I107" i="2"/>
  <c r="K107" i="2" s="1"/>
  <c r="I308" i="2"/>
  <c r="I250" i="2"/>
  <c r="J250" i="2" s="1"/>
  <c r="I322" i="2"/>
  <c r="J322" i="2" s="1"/>
  <c r="I258" i="2"/>
  <c r="I248" i="2"/>
  <c r="I346" i="2"/>
  <c r="J346" i="2" s="1"/>
  <c r="I154" i="2"/>
  <c r="K154" i="2" s="1"/>
  <c r="W154" i="2" s="1"/>
  <c r="I313" i="2"/>
  <c r="I266" i="2"/>
  <c r="J266" i="2" s="1"/>
  <c r="I159" i="2"/>
  <c r="I226" i="2"/>
  <c r="I108" i="2"/>
  <c r="J108" i="2" s="1"/>
  <c r="I15" i="2"/>
  <c r="I134" i="2"/>
  <c r="I79" i="2"/>
  <c r="I135" i="2"/>
  <c r="K135" i="2" s="1"/>
  <c r="U135" i="2" s="1"/>
  <c r="I91" i="2"/>
  <c r="K91" i="2" s="1"/>
  <c r="W91" i="2" s="1"/>
  <c r="I120" i="2"/>
  <c r="I100" i="2"/>
  <c r="I59" i="2"/>
  <c r="I161" i="2"/>
  <c r="K161" i="2" s="1"/>
  <c r="V161" i="2" s="1"/>
  <c r="I95" i="2"/>
  <c r="I328" i="2"/>
  <c r="I181" i="2"/>
  <c r="I278" i="2"/>
  <c r="I101" i="2"/>
  <c r="I16" i="2"/>
  <c r="I70" i="2"/>
  <c r="I75" i="2"/>
  <c r="K75" i="2" s="1"/>
  <c r="W75" i="2" s="1"/>
  <c r="I27" i="2"/>
  <c r="K27" i="2" s="1"/>
  <c r="W27" i="2" s="1"/>
  <c r="I196" i="2"/>
  <c r="J196" i="2" s="1"/>
  <c r="I137" i="2"/>
  <c r="K137" i="2" s="1"/>
  <c r="U137" i="2" s="1"/>
  <c r="I88" i="2"/>
  <c r="K88" i="2" s="1"/>
  <c r="W88" i="2" s="1"/>
  <c r="I269" i="2"/>
  <c r="I94" i="2"/>
  <c r="I327" i="2"/>
  <c r="J327" i="2" s="1"/>
  <c r="I48" i="2"/>
  <c r="K48" i="2" s="1"/>
  <c r="W48" i="2" s="1"/>
  <c r="I131" i="2"/>
  <c r="I147" i="2"/>
  <c r="I20" i="2"/>
  <c r="I255" i="2"/>
  <c r="K255" i="2" s="1"/>
  <c r="W255" i="2" s="1"/>
  <c r="I93" i="2"/>
  <c r="K93" i="2" s="1"/>
  <c r="W93" i="2" s="1"/>
  <c r="I97" i="2"/>
  <c r="I76" i="2"/>
  <c r="I7" i="2"/>
  <c r="I31" i="2"/>
  <c r="I23" i="2"/>
  <c r="I128" i="2"/>
  <c r="I87" i="2"/>
  <c r="I18" i="2"/>
  <c r="I6" i="2"/>
  <c r="K6" i="2" s="1"/>
  <c r="U6" i="2" s="1"/>
  <c r="I9" i="2"/>
  <c r="K9" i="2" s="1"/>
  <c r="W9" i="2" s="1"/>
  <c r="I315" i="2"/>
  <c r="I254" i="2"/>
  <c r="I205" i="2"/>
  <c r="K205" i="2" s="1"/>
  <c r="X205" i="2" s="1"/>
  <c r="I245" i="2"/>
  <c r="J245" i="2" s="1"/>
  <c r="I119" i="2"/>
  <c r="K119" i="2" s="1"/>
  <c r="I329" i="2"/>
  <c r="I28" i="2"/>
  <c r="J28" i="2" s="1"/>
  <c r="I312" i="2"/>
  <c r="I24" i="2"/>
  <c r="J24" i="2" s="1"/>
  <c r="I187" i="2"/>
  <c r="I241" i="2"/>
  <c r="K241" i="2" s="1"/>
  <c r="W241" i="2" s="1"/>
  <c r="I232" i="2"/>
  <c r="I89" i="2"/>
  <c r="I183" i="2"/>
  <c r="J183" i="2" s="1"/>
  <c r="I265" i="2"/>
  <c r="I291" i="2"/>
  <c r="J291" i="2" s="1"/>
  <c r="I90" i="2"/>
  <c r="K90" i="2" s="1"/>
  <c r="W90" i="2" s="1"/>
  <c r="I44" i="2"/>
  <c r="I361" i="2"/>
  <c r="J361" i="2" s="1"/>
  <c r="I211" i="2"/>
  <c r="I143" i="2"/>
  <c r="K143" i="2" s="1"/>
  <c r="V143" i="2" s="1"/>
  <c r="I218" i="2"/>
  <c r="J218" i="2" s="1"/>
  <c r="I210" i="2"/>
  <c r="K210" i="2" s="1"/>
  <c r="U210" i="2" s="1"/>
  <c r="I5" i="2"/>
  <c r="I152" i="2"/>
  <c r="I229" i="2"/>
  <c r="I37" i="2"/>
  <c r="I41" i="2"/>
  <c r="I102" i="2"/>
  <c r="I117" i="2"/>
  <c r="J117" i="2" s="1"/>
  <c r="I21" i="2"/>
  <c r="J21" i="2" s="1"/>
  <c r="I342" i="2"/>
  <c r="J342" i="2" s="1"/>
  <c r="I194" i="2"/>
  <c r="I45" i="2"/>
  <c r="J45" i="2" s="1"/>
  <c r="I217" i="2"/>
  <c r="I2" i="2"/>
  <c r="J2" i="2" s="1"/>
  <c r="I126" i="2"/>
  <c r="I243" i="2"/>
  <c r="J243" i="2" s="1"/>
  <c r="I234" i="2"/>
  <c r="J234" i="2" s="1"/>
  <c r="I169" i="2"/>
  <c r="I292" i="2"/>
  <c r="I14" i="2"/>
  <c r="J14" i="2" s="1"/>
  <c r="I17" i="2"/>
  <c r="J17" i="2" s="1"/>
  <c r="I58" i="2"/>
  <c r="I32" i="2"/>
  <c r="J32" i="2" s="1"/>
  <c r="I11" i="2"/>
  <c r="I56" i="2"/>
  <c r="I34" i="2"/>
  <c r="J34" i="2" s="1"/>
  <c r="I49" i="2"/>
  <c r="J49" i="2" s="1"/>
  <c r="I82" i="2"/>
  <c r="I104" i="2"/>
  <c r="I260" i="2"/>
  <c r="J260" i="2" s="1"/>
  <c r="I19" i="2"/>
  <c r="J19" i="2" s="1"/>
  <c r="I133" i="2"/>
  <c r="J133" i="2" s="1"/>
  <c r="I61" i="2"/>
  <c r="J61" i="2" s="1"/>
  <c r="I138" i="2"/>
  <c r="I178" i="2"/>
  <c r="K178" i="2" s="1"/>
  <c r="U178" i="2" s="1"/>
  <c r="I189" i="2"/>
  <c r="J189" i="2" s="1"/>
  <c r="I141" i="2"/>
  <c r="K141" i="2" s="1"/>
  <c r="W141" i="2" s="1"/>
  <c r="I236" i="2"/>
  <c r="J236" i="2" s="1"/>
  <c r="I179" i="2"/>
  <c r="J179" i="2" s="1"/>
  <c r="I43" i="2"/>
  <c r="J43" i="2" s="1"/>
  <c r="I215" i="2"/>
  <c r="J215" i="2" s="1"/>
  <c r="I118" i="2"/>
  <c r="I57" i="2"/>
  <c r="J57" i="2" s="1"/>
  <c r="I25" i="2"/>
  <c r="J25" i="2" s="1"/>
  <c r="G271" i="2"/>
  <c r="I271" i="2" s="1"/>
  <c r="J271" i="2" s="1"/>
  <c r="G366" i="2"/>
  <c r="I366" i="2" s="1"/>
  <c r="J366" i="2" s="1"/>
  <c r="G363" i="2"/>
  <c r="I363" i="2" s="1"/>
  <c r="J363" i="2" s="1"/>
  <c r="G330" i="2"/>
  <c r="I330" i="2" s="1"/>
  <c r="J330" i="2" s="1"/>
  <c r="G310" i="2"/>
  <c r="I310" i="2" s="1"/>
  <c r="J310" i="2" s="1"/>
  <c r="I203" i="2"/>
  <c r="J203" i="2" s="1"/>
  <c r="G306" i="2"/>
  <c r="I306" i="2" s="1"/>
  <c r="J306" i="2" s="1"/>
  <c r="G188" i="2"/>
  <c r="I188" i="2" s="1"/>
  <c r="J188" i="2" s="1"/>
  <c r="G172" i="2"/>
  <c r="I172" i="2" s="1"/>
  <c r="J172" i="2" s="1"/>
  <c r="G347" i="2"/>
  <c r="I347" i="2" s="1"/>
  <c r="J347" i="2" s="1"/>
  <c r="G139" i="2"/>
  <c r="I139" i="2" s="1"/>
  <c r="J139" i="2" s="1"/>
  <c r="G264" i="2"/>
  <c r="I264" i="2" s="1"/>
  <c r="G83" i="2"/>
  <c r="I83" i="2" s="1"/>
  <c r="K83" i="2" s="1"/>
  <c r="G92" i="2"/>
  <c r="I92" i="2" s="1"/>
  <c r="J92" i="2" s="1"/>
  <c r="G116" i="2"/>
  <c r="I116" i="2" s="1"/>
  <c r="J116" i="2" s="1"/>
  <c r="G121" i="2"/>
  <c r="I121" i="2" s="1"/>
  <c r="G142" i="2"/>
  <c r="I142" i="2" s="1"/>
  <c r="J142" i="2" s="1"/>
  <c r="G298" i="2"/>
  <c r="I298" i="2" s="1"/>
  <c r="J298" i="2" s="1"/>
  <c r="G338" i="2"/>
  <c r="I338" i="2" s="1"/>
  <c r="J338" i="2" s="1"/>
  <c r="G261" i="2"/>
  <c r="I261" i="2" s="1"/>
  <c r="G297" i="2"/>
  <c r="I297" i="2" s="1"/>
  <c r="G359" i="2"/>
  <c r="I359" i="2" s="1"/>
  <c r="J359" i="2" s="1"/>
  <c r="G3" i="2"/>
  <c r="I3" i="2" s="1"/>
  <c r="G309" i="2"/>
  <c r="I309" i="2" s="1"/>
  <c r="J309" i="2" s="1"/>
  <c r="G253" i="2"/>
  <c r="I253" i="2" s="1"/>
  <c r="J253" i="2" s="1"/>
  <c r="G299" i="2"/>
  <c r="I299" i="2" s="1"/>
  <c r="J299" i="2" s="1"/>
  <c r="G111" i="2"/>
  <c r="I111" i="2" s="1"/>
  <c r="J111" i="2" s="1"/>
  <c r="G237" i="2"/>
  <c r="I237" i="2" s="1"/>
  <c r="G122" i="2"/>
  <c r="I122" i="2" s="1"/>
  <c r="J122" i="2" s="1"/>
  <c r="G191" i="2"/>
  <c r="I191" i="2" s="1"/>
  <c r="G114" i="2"/>
  <c r="I114" i="2" s="1"/>
  <c r="J114" i="2" s="1"/>
  <c r="G35" i="2"/>
  <c r="I35" i="2" s="1"/>
  <c r="J35" i="2" s="1"/>
  <c r="G22" i="2"/>
  <c r="I22" i="2" s="1"/>
  <c r="J22" i="2" s="1"/>
  <c r="I39" i="2"/>
  <c r="K39" i="2" s="1"/>
  <c r="U39" i="2" s="1"/>
  <c r="G62" i="2"/>
  <c r="I62" i="2" s="1"/>
  <c r="J62" i="2" s="1"/>
  <c r="G60" i="2"/>
  <c r="I60" i="2" s="1"/>
  <c r="J60" i="2" s="1"/>
  <c r="I50" i="2"/>
  <c r="J50" i="2" s="1"/>
  <c r="G80" i="2"/>
  <c r="I80" i="2" s="1"/>
  <c r="J80" i="2" s="1"/>
  <c r="G72" i="2"/>
  <c r="I72" i="2" s="1"/>
  <c r="G176" i="2"/>
  <c r="I176" i="2" s="1"/>
  <c r="J176" i="2" s="1"/>
  <c r="G294" i="2"/>
  <c r="I294" i="2" s="1"/>
  <c r="J294" i="2" s="1"/>
  <c r="G331" i="2"/>
  <c r="I331" i="2" s="1"/>
  <c r="J331" i="2" s="1"/>
  <c r="G325" i="2"/>
  <c r="I325" i="2" s="1"/>
  <c r="J325" i="2" s="1"/>
  <c r="G148" i="2"/>
  <c r="I148" i="2" s="1"/>
  <c r="J148" i="2" s="1"/>
  <c r="G160" i="2"/>
  <c r="I160" i="2" s="1"/>
  <c r="G276" i="2"/>
  <c r="I276" i="2" s="1"/>
  <c r="J276" i="2" s="1"/>
  <c r="G206" i="2"/>
  <c r="I206" i="2" s="1"/>
  <c r="J206" i="2" s="1"/>
  <c r="G199" i="2"/>
  <c r="I199" i="2" s="1"/>
  <c r="J199" i="2" s="1"/>
  <c r="G370" i="2"/>
  <c r="I370" i="2" s="1"/>
  <c r="J370" i="2" s="1"/>
  <c r="G280" i="2"/>
  <c r="I280" i="2" s="1"/>
  <c r="G285" i="2"/>
  <c r="I285" i="2" s="1"/>
  <c r="J285" i="2" s="1"/>
  <c r="G197" i="2"/>
  <c r="I197" i="2" s="1"/>
  <c r="J197" i="2" s="1"/>
  <c r="G170" i="2"/>
  <c r="I170" i="2" s="1"/>
  <c r="G230" i="2"/>
  <c r="I230" i="2" s="1"/>
  <c r="J230" i="2" s="1"/>
  <c r="G193" i="2"/>
  <c r="I193" i="2" s="1"/>
  <c r="J193" i="2" s="1"/>
  <c r="G207" i="2"/>
  <c r="I207" i="2" s="1"/>
  <c r="G345" i="2"/>
  <c r="I345" i="2" s="1"/>
  <c r="J345" i="2" s="1"/>
  <c r="G335" i="2"/>
  <c r="I335" i="2" s="1"/>
  <c r="J335" i="2" s="1"/>
  <c r="G367" i="2"/>
  <c r="I367" i="2" s="1"/>
  <c r="J367" i="2" s="1"/>
  <c r="G350" i="2"/>
  <c r="I350" i="2" s="1"/>
  <c r="J350" i="2" s="1"/>
  <c r="G132" i="2"/>
  <c r="I132" i="2" s="1"/>
  <c r="J132" i="2" s="1"/>
  <c r="G320" i="2"/>
  <c r="I320" i="2" s="1"/>
  <c r="J320" i="2" s="1"/>
  <c r="G251" i="2"/>
  <c r="I251" i="2" s="1"/>
  <c r="J251" i="2" s="1"/>
  <c r="G246" i="2"/>
  <c r="I246" i="2" s="1"/>
  <c r="G369" i="2"/>
  <c r="I369" i="2" s="1"/>
  <c r="J369" i="2" s="1"/>
  <c r="G202" i="2"/>
  <c r="I202" i="2" s="1"/>
  <c r="J202" i="2" s="1"/>
  <c r="G259" i="2"/>
  <c r="I259" i="2" s="1"/>
  <c r="J259" i="2" s="1"/>
  <c r="G373" i="2"/>
  <c r="I373" i="2" s="1"/>
  <c r="J373" i="2" s="1"/>
  <c r="G316" i="2"/>
  <c r="I316" i="2" s="1"/>
  <c r="J316" i="2" s="1"/>
  <c r="G334" i="2"/>
  <c r="I334" i="2" s="1"/>
  <c r="J334" i="2" s="1"/>
  <c r="G323" i="2"/>
  <c r="I323" i="2" s="1"/>
  <c r="J323" i="2" s="1"/>
  <c r="G326" i="2"/>
  <c r="I326" i="2" s="1"/>
  <c r="J326" i="2" s="1"/>
  <c r="G240" i="2"/>
  <c r="I240" i="2" s="1"/>
  <c r="J240" i="2" s="1"/>
  <c r="G270" i="2"/>
  <c r="I270" i="2" s="1"/>
  <c r="J270" i="2" s="1"/>
  <c r="G337" i="2"/>
  <c r="I337" i="2" s="1"/>
  <c r="J337" i="2" s="1"/>
  <c r="G301" i="2"/>
  <c r="I301" i="2" s="1"/>
  <c r="J301" i="2" s="1"/>
  <c r="G287" i="2"/>
  <c r="I287" i="2" s="1"/>
  <c r="J287" i="2" s="1"/>
  <c r="G317" i="2"/>
  <c r="I317" i="2" s="1"/>
  <c r="J317" i="2" s="1"/>
  <c r="G12" i="2"/>
  <c r="I12" i="2" s="1"/>
  <c r="G29" i="2"/>
  <c r="I29" i="2" s="1"/>
  <c r="J29" i="2" s="1"/>
  <c r="G54" i="2"/>
  <c r="I54" i="2" s="1"/>
  <c r="J54" i="2" s="1"/>
  <c r="G78" i="2"/>
  <c r="I78" i="2" s="1"/>
  <c r="G69" i="2"/>
  <c r="I69" i="2" s="1"/>
  <c r="K69" i="2" s="1"/>
  <c r="W69" i="2" s="1"/>
  <c r="G66" i="2"/>
  <c r="I66" i="2" s="1"/>
  <c r="G173" i="2"/>
  <c r="I173" i="2" s="1"/>
  <c r="G225" i="2"/>
  <c r="I225" i="2" s="1"/>
  <c r="J225" i="2" s="1"/>
  <c r="G343" i="2"/>
  <c r="I343" i="2" s="1"/>
  <c r="J343" i="2" s="1"/>
  <c r="G365" i="2"/>
  <c r="I365" i="2" s="1"/>
  <c r="J365" i="2" s="1"/>
  <c r="G281" i="2"/>
  <c r="I281" i="2" s="1"/>
  <c r="J281" i="2" s="1"/>
  <c r="G213" i="2"/>
  <c r="I213" i="2" s="1"/>
  <c r="J213" i="2" s="1"/>
  <c r="G228" i="2"/>
  <c r="I228" i="2" s="1"/>
  <c r="J228" i="2" s="1"/>
  <c r="G247" i="2"/>
  <c r="I247" i="2" s="1"/>
  <c r="G289" i="2"/>
  <c r="I289" i="2" s="1"/>
  <c r="J289" i="2" s="1"/>
  <c r="G362" i="2"/>
  <c r="I362" i="2" s="1"/>
  <c r="J362" i="2" s="1"/>
  <c r="G166" i="2"/>
  <c r="I166" i="2" s="1"/>
  <c r="J166" i="2" s="1"/>
  <c r="G319" i="2"/>
  <c r="I319" i="2" s="1"/>
  <c r="J319" i="2" s="1"/>
  <c r="G186" i="2"/>
  <c r="I186" i="2" s="1"/>
  <c r="J186" i="2" s="1"/>
  <c r="G321" i="2"/>
  <c r="I321" i="2" s="1"/>
  <c r="J321" i="2" s="1"/>
  <c r="G220" i="2"/>
  <c r="I220" i="2" s="1"/>
  <c r="J220" i="2" s="1"/>
  <c r="L201" i="2"/>
  <c r="G123" i="2"/>
  <c r="I123" i="2" s="1"/>
  <c r="J123" i="2" s="1"/>
  <c r="G233" i="2"/>
  <c r="I233" i="2" s="1"/>
  <c r="J233" i="2" s="1"/>
  <c r="G324" i="2"/>
  <c r="I324" i="2" s="1"/>
  <c r="J324" i="2" s="1"/>
  <c r="G305" i="2"/>
  <c r="I305" i="2" s="1"/>
  <c r="J305" i="2" s="1"/>
  <c r="G348" i="2"/>
  <c r="I348" i="2" s="1"/>
  <c r="J348" i="2" s="1"/>
  <c r="G227" i="2"/>
  <c r="I227" i="2" s="1"/>
  <c r="J227" i="2" s="1"/>
  <c r="G175" i="2"/>
  <c r="I175" i="2" s="1"/>
  <c r="J175" i="2" s="1"/>
  <c r="G288" i="2"/>
  <c r="I288" i="2" s="1"/>
  <c r="J288" i="2" s="1"/>
  <c r="G208" i="2"/>
  <c r="I208" i="2" s="1"/>
  <c r="J208" i="2" s="1"/>
  <c r="G262" i="2"/>
  <c r="I262" i="2" s="1"/>
  <c r="J262" i="2" s="1"/>
  <c r="G277" i="2"/>
  <c r="I277" i="2" s="1"/>
  <c r="J277" i="2" s="1"/>
  <c r="I8" i="2"/>
  <c r="J8" i="2" s="1"/>
  <c r="G26" i="2"/>
  <c r="I26" i="2" s="1"/>
  <c r="G46" i="2"/>
  <c r="I46" i="2" s="1"/>
  <c r="I40" i="2"/>
  <c r="I64" i="2"/>
  <c r="I53" i="2"/>
  <c r="G85" i="2"/>
  <c r="I85" i="2" s="1"/>
  <c r="J85" i="2" s="1"/>
  <c r="G84" i="2"/>
  <c r="I84" i="2" s="1"/>
  <c r="I86" i="2"/>
  <c r="I98" i="2"/>
  <c r="J98" i="2" s="1"/>
  <c r="G112" i="2"/>
  <c r="I112" i="2" s="1"/>
  <c r="J112" i="2" s="1"/>
  <c r="G155" i="2"/>
  <c r="I155" i="2" s="1"/>
  <c r="J155" i="2" s="1"/>
  <c r="G163" i="2"/>
  <c r="I163" i="2" s="1"/>
  <c r="G198" i="2"/>
  <c r="I198" i="2" s="1"/>
  <c r="J198" i="2" s="1"/>
  <c r="G224" i="2"/>
  <c r="I224" i="2" s="1"/>
  <c r="J224" i="2" s="1"/>
  <c r="G284" i="2"/>
  <c r="I284" i="2" s="1"/>
  <c r="J284" i="2" s="1"/>
  <c r="G293" i="2"/>
  <c r="I293" i="2" s="1"/>
  <c r="J293" i="2" s="1"/>
  <c r="L231" i="2"/>
  <c r="G274" i="2"/>
  <c r="I274" i="2" s="1"/>
  <c r="J274" i="2" s="1"/>
  <c r="G242" i="2"/>
  <c r="I242" i="2" s="1"/>
  <c r="J242" i="2" s="1"/>
  <c r="G219" i="2"/>
  <c r="I219" i="2" s="1"/>
  <c r="J219" i="2" s="1"/>
  <c r="G311" i="2"/>
  <c r="I311" i="2" s="1"/>
  <c r="J311" i="2" s="1"/>
  <c r="G356" i="2"/>
  <c r="I356" i="2" s="1"/>
  <c r="J356" i="2" s="1"/>
  <c r="G174" i="2"/>
  <c r="I174" i="2" s="1"/>
  <c r="J174" i="2" s="1"/>
  <c r="G273" i="2"/>
  <c r="I273" i="2" s="1"/>
  <c r="J273" i="2" s="1"/>
  <c r="G185" i="2"/>
  <c r="I185" i="2" s="1"/>
  <c r="J185" i="2" s="1"/>
  <c r="G180" i="2"/>
  <c r="I180" i="2" s="1"/>
  <c r="J180" i="2" s="1"/>
  <c r="G103" i="2"/>
  <c r="I103" i="2" s="1"/>
  <c r="G124" i="2"/>
  <c r="I124" i="2" s="1"/>
  <c r="J124" i="2" s="1"/>
  <c r="G140" i="2"/>
  <c r="I140" i="2" s="1"/>
  <c r="J140" i="2" s="1"/>
  <c r="G158" i="2"/>
  <c r="I158" i="2" s="1"/>
  <c r="J158" i="2" s="1"/>
  <c r="G177" i="2"/>
  <c r="I177" i="2" s="1"/>
  <c r="G190" i="2"/>
  <c r="I190" i="2" s="1"/>
  <c r="J190" i="2" s="1"/>
  <c r="G238" i="2"/>
  <c r="I238" i="2" s="1"/>
  <c r="J238" i="2" s="1"/>
  <c r="G257" i="2"/>
  <c r="I257" i="2" s="1"/>
  <c r="J257" i="2" s="1"/>
  <c r="G275" i="2"/>
  <c r="I275" i="2" s="1"/>
  <c r="J275" i="2" s="1"/>
  <c r="G221" i="2"/>
  <c r="I221" i="2" s="1"/>
  <c r="J221" i="2" s="1"/>
  <c r="G368" i="2"/>
  <c r="I368" i="2" s="1"/>
  <c r="J368" i="2" s="1"/>
  <c r="G296" i="2"/>
  <c r="I296" i="2" s="1"/>
  <c r="J296" i="2" s="1"/>
  <c r="G354" i="2"/>
  <c r="I354" i="2" s="1"/>
  <c r="J354" i="2" s="1"/>
  <c r="G314" i="2"/>
  <c r="I314" i="2" s="1"/>
  <c r="J314" i="2" s="1"/>
  <c r="G223" i="2"/>
  <c r="I223" i="2" s="1"/>
  <c r="J223" i="2" s="1"/>
  <c r="G256" i="2"/>
  <c r="I256" i="2" s="1"/>
  <c r="J256" i="2" s="1"/>
  <c r="G209" i="2"/>
  <c r="I209" i="2" s="1"/>
  <c r="J209" i="2" s="1"/>
  <c r="G239" i="2"/>
  <c r="I239" i="2" s="1"/>
  <c r="J239" i="2" s="1"/>
  <c r="G145" i="2"/>
  <c r="I145" i="2" s="1"/>
  <c r="J145" i="2" s="1"/>
  <c r="G55" i="2"/>
  <c r="I55" i="2" s="1"/>
  <c r="J55" i="2" s="1"/>
  <c r="G77" i="2"/>
  <c r="I77" i="2" s="1"/>
  <c r="G68" i="2"/>
  <c r="I68" i="2" s="1"/>
  <c r="G113" i="2"/>
  <c r="I113" i="2" s="1"/>
  <c r="G156" i="2"/>
  <c r="I156" i="2" s="1"/>
  <c r="J156" i="2" s="1"/>
  <c r="G303" i="2"/>
  <c r="I303" i="2" s="1"/>
  <c r="J303" i="2" s="1"/>
  <c r="G358" i="2"/>
  <c r="I358" i="2" s="1"/>
  <c r="J358" i="2" s="1"/>
  <c r="G349" i="2"/>
  <c r="I349" i="2" s="1"/>
  <c r="J349" i="2" s="1"/>
  <c r="G302" i="2"/>
  <c r="I302" i="2" s="1"/>
  <c r="J302" i="2" s="1"/>
  <c r="G333" i="2"/>
  <c r="I333" i="2" s="1"/>
  <c r="J333" i="2" s="1"/>
  <c r="G252" i="2"/>
  <c r="I252" i="2" s="1"/>
  <c r="J252" i="2" s="1"/>
  <c r="G336" i="2"/>
  <c r="I336" i="2" s="1"/>
  <c r="J336" i="2" s="1"/>
  <c r="G318" i="2"/>
  <c r="I318" i="2" s="1"/>
  <c r="J318" i="2" s="1"/>
  <c r="G295" i="2"/>
  <c r="I295" i="2" s="1"/>
  <c r="J295" i="2" s="1"/>
  <c r="G282" i="2"/>
  <c r="I282" i="2" s="1"/>
  <c r="J282" i="2" s="1"/>
  <c r="G357" i="2"/>
  <c r="I357" i="2" s="1"/>
  <c r="J357" i="2" s="1"/>
  <c r="G192" i="2"/>
  <c r="I192" i="2" s="1"/>
  <c r="J192" i="2" s="1"/>
  <c r="G149" i="2"/>
  <c r="I149" i="2" s="1"/>
  <c r="J149" i="2" s="1"/>
  <c r="G42" i="2"/>
  <c r="I42" i="2" s="1"/>
  <c r="J42" i="2" s="1"/>
  <c r="G52" i="2"/>
  <c r="I52" i="2" s="1"/>
  <c r="G344" i="2"/>
  <c r="I344" i="2" s="1"/>
  <c r="J344" i="2" s="1"/>
  <c r="G214" i="2"/>
  <c r="I214" i="2" s="1"/>
  <c r="G300" i="2"/>
  <c r="I300" i="2" s="1"/>
  <c r="J300" i="2" s="1"/>
  <c r="G263" i="2"/>
  <c r="I263" i="2" s="1"/>
  <c r="J263" i="2" s="1"/>
  <c r="G353" i="2"/>
  <c r="I353" i="2" s="1"/>
  <c r="J353" i="2" s="1"/>
  <c r="G110" i="2"/>
  <c r="I110" i="2" s="1"/>
  <c r="G127" i="2"/>
  <c r="I127" i="2" s="1"/>
  <c r="G130" i="2"/>
  <c r="I130" i="2" s="1"/>
  <c r="J130" i="2" s="1"/>
  <c r="G153" i="2"/>
  <c r="I153" i="2" s="1"/>
  <c r="J153" i="2" s="1"/>
  <c r="G157" i="2"/>
  <c r="I157" i="2" s="1"/>
  <c r="J157" i="2" s="1"/>
  <c r="G165" i="2"/>
  <c r="I165" i="2" s="1"/>
  <c r="J165" i="2" s="1"/>
  <c r="G200" i="2"/>
  <c r="I200" i="2" s="1"/>
  <c r="J200" i="2" s="1"/>
  <c r="G222" i="2"/>
  <c r="I222" i="2" s="1"/>
  <c r="G268" i="2"/>
  <c r="I268" i="2" s="1"/>
  <c r="G286" i="2"/>
  <c r="I286" i="2" s="1"/>
  <c r="J286" i="2" s="1"/>
  <c r="G304" i="2"/>
  <c r="I304" i="2" s="1"/>
  <c r="J304" i="2" s="1"/>
  <c r="G339" i="2"/>
  <c r="I339" i="2" s="1"/>
  <c r="J339" i="2" s="1"/>
  <c r="L272" i="2"/>
  <c r="N272" i="2" s="1"/>
  <c r="G129" i="2"/>
  <c r="I129" i="2" s="1"/>
  <c r="G144" i="2"/>
  <c r="I144" i="2" s="1"/>
  <c r="J144" i="2" s="1"/>
  <c r="G283" i="2"/>
  <c r="I283" i="2" s="1"/>
  <c r="J283" i="2" s="1"/>
  <c r="G216" i="2"/>
  <c r="I216" i="2" s="1"/>
  <c r="J216" i="2" s="1"/>
  <c r="G352" i="2"/>
  <c r="I352" i="2" s="1"/>
  <c r="J352" i="2" s="1"/>
  <c r="G307" i="2"/>
  <c r="I307" i="2" s="1"/>
  <c r="J307" i="2" s="1"/>
  <c r="G340" i="2"/>
  <c r="I340" i="2" s="1"/>
  <c r="J340" i="2" s="1"/>
  <c r="G136" i="2"/>
  <c r="I136" i="2" s="1"/>
  <c r="J136" i="2" s="1"/>
  <c r="G151" i="2"/>
  <c r="I151" i="2" s="1"/>
  <c r="G182" i="2"/>
  <c r="I182" i="2" s="1"/>
  <c r="J182" i="2" s="1"/>
  <c r="G204" i="2"/>
  <c r="I204" i="2" s="1"/>
  <c r="J204" i="2" s="1"/>
  <c r="G249" i="2"/>
  <c r="I249" i="2" s="1"/>
  <c r="J249" i="2" s="1"/>
  <c r="G184" i="2"/>
  <c r="I184" i="2" s="1"/>
  <c r="G371" i="2"/>
  <c r="I371" i="2" s="1"/>
  <c r="J371" i="2" s="1"/>
  <c r="G332" i="2"/>
  <c r="I332" i="2" s="1"/>
  <c r="J332" i="2" s="1"/>
  <c r="G290" i="2"/>
  <c r="I290" i="2" s="1"/>
  <c r="J290" i="2" s="1"/>
  <c r="G168" i="2"/>
  <c r="I168" i="2" s="1"/>
  <c r="J168" i="2" s="1"/>
  <c r="G167" i="2"/>
  <c r="I167" i="2" s="1"/>
  <c r="J167" i="2" s="1"/>
  <c r="G364" i="2"/>
  <c r="I364" i="2" s="1"/>
  <c r="J364" i="2" s="1"/>
  <c r="G244" i="2"/>
  <c r="I244" i="2" s="1"/>
  <c r="J244" i="2" s="1"/>
  <c r="G105" i="2"/>
  <c r="I105" i="2" s="1"/>
  <c r="G355" i="2"/>
  <c r="I355" i="2" s="1"/>
  <c r="J355" i="2" s="1"/>
  <c r="G372" i="2"/>
  <c r="I372" i="2" s="1"/>
  <c r="J372" i="2" s="1"/>
  <c r="G267" i="2"/>
  <c r="I267" i="2" s="1"/>
  <c r="G341" i="2"/>
  <c r="I341" i="2" s="1"/>
  <c r="J341" i="2" s="1"/>
  <c r="G374" i="2"/>
  <c r="I374" i="2" s="1"/>
  <c r="J374" i="2" s="1"/>
  <c r="G4" i="2"/>
  <c r="I4" i="2" s="1"/>
  <c r="G10" i="2"/>
  <c r="I10" i="2" s="1"/>
  <c r="G30" i="2"/>
  <c r="I30" i="2" s="1"/>
  <c r="G36" i="2"/>
  <c r="I36" i="2" s="1"/>
  <c r="J36" i="2" s="1"/>
  <c r="G33" i="2"/>
  <c r="I33" i="2" s="1"/>
  <c r="G38" i="2"/>
  <c r="I38" i="2" s="1"/>
  <c r="G63" i="2"/>
  <c r="I63" i="2" s="1"/>
  <c r="G47" i="2"/>
  <c r="I47" i="2" s="1"/>
  <c r="G74" i="2"/>
  <c r="I74" i="2" s="1"/>
  <c r="G71" i="2"/>
  <c r="I71" i="2" s="1"/>
  <c r="G81" i="2"/>
  <c r="I81" i="2" s="1"/>
  <c r="G99" i="2"/>
  <c r="I99" i="2" s="1"/>
  <c r="G96" i="2"/>
  <c r="I96" i="2" s="1"/>
  <c r="G146" i="2"/>
  <c r="I146" i="2" s="1"/>
  <c r="J146" i="2" s="1"/>
  <c r="G195" i="2"/>
  <c r="I195" i="2" s="1"/>
  <c r="J195" i="2" s="1"/>
  <c r="G212" i="2"/>
  <c r="I212" i="2" s="1"/>
  <c r="G235" i="2"/>
  <c r="I235" i="2" s="1"/>
  <c r="J235" i="2" s="1"/>
  <c r="K226" i="2" l="1"/>
  <c r="W226" i="2" s="1"/>
  <c r="J226" i="2"/>
  <c r="K217" i="2"/>
  <c r="X217" i="2" s="1"/>
  <c r="J217" i="2"/>
  <c r="K58" i="2"/>
  <c r="V58" i="2" s="1"/>
  <c r="J58" i="2"/>
  <c r="K100" i="2"/>
  <c r="V100" i="2" s="1"/>
  <c r="J100" i="2"/>
  <c r="K31" i="2"/>
  <c r="V31" i="2" s="1"/>
  <c r="J31" i="2"/>
  <c r="K79" i="2"/>
  <c r="V79" i="2" s="1"/>
  <c r="J79" i="2"/>
  <c r="K87" i="2"/>
  <c r="W87" i="2" s="1"/>
  <c r="J87" i="2"/>
  <c r="K16" i="2"/>
  <c r="V16" i="2" s="1"/>
  <c r="J16" i="2"/>
  <c r="K109" i="2"/>
  <c r="W109" i="2" s="1"/>
  <c r="J109" i="2"/>
  <c r="K44" i="2"/>
  <c r="V44" i="2" s="1"/>
  <c r="J44" i="2"/>
  <c r="K134" i="2"/>
  <c r="J134" i="2"/>
  <c r="K128" i="2"/>
  <c r="V128" i="2" s="1"/>
  <c r="J128" i="2"/>
  <c r="K95" i="2"/>
  <c r="W95" i="2" s="1"/>
  <c r="J95" i="2"/>
  <c r="K120" i="2"/>
  <c r="U120" i="2" s="1"/>
  <c r="J120" i="2"/>
  <c r="K211" i="2"/>
  <c r="W211" i="2" s="1"/>
  <c r="J211" i="2"/>
  <c r="K254" i="2"/>
  <c r="U254" i="2" s="1"/>
  <c r="J254" i="2"/>
  <c r="K7" i="2"/>
  <c r="W7" i="2" s="1"/>
  <c r="J7" i="2"/>
  <c r="K18" i="2"/>
  <c r="J18" i="2"/>
  <c r="K101" i="2"/>
  <c r="V101" i="2" s="1"/>
  <c r="J101" i="2"/>
  <c r="K23" i="2"/>
  <c r="U23" i="2" s="1"/>
  <c r="J23" i="2"/>
  <c r="K59" i="2"/>
  <c r="V59" i="2" s="1"/>
  <c r="J59" i="2"/>
  <c r="K94" i="2"/>
  <c r="W94" i="2" s="1"/>
  <c r="J94" i="2"/>
  <c r="K15" i="2"/>
  <c r="V15" i="2" s="1"/>
  <c r="J15" i="2"/>
  <c r="K5" i="2"/>
  <c r="J5" i="2"/>
  <c r="K247" i="2"/>
  <c r="X247" i="2" s="1"/>
  <c r="J247" i="2"/>
  <c r="K164" i="2"/>
  <c r="W164" i="2" s="1"/>
  <c r="J164" i="2"/>
  <c r="K212" i="2"/>
  <c r="W212" i="2" s="1"/>
  <c r="J212" i="2"/>
  <c r="N201" i="2"/>
  <c r="M201" i="2"/>
  <c r="K125" i="2"/>
  <c r="V125" i="2" s="1"/>
  <c r="J125" i="2"/>
  <c r="K65" i="2"/>
  <c r="J65" i="2"/>
  <c r="L106" i="2"/>
  <c r="M106" i="2" s="1"/>
  <c r="N231" i="2"/>
  <c r="M231" i="2"/>
  <c r="K82" i="2"/>
  <c r="J82" i="2"/>
  <c r="K329" i="2"/>
  <c r="V329" i="2" s="1"/>
  <c r="J329" i="2"/>
  <c r="K313" i="2"/>
  <c r="U313" i="2" s="1"/>
  <c r="J313" i="2"/>
  <c r="K76" i="2"/>
  <c r="V76" i="2" s="1"/>
  <c r="J76" i="2"/>
  <c r="K315" i="2"/>
  <c r="U315" i="2" s="1"/>
  <c r="J315" i="2"/>
  <c r="K138" i="2"/>
  <c r="U138" i="2" s="1"/>
  <c r="J138" i="2"/>
  <c r="J106" i="2"/>
  <c r="K152" i="2"/>
  <c r="W152" i="2" s="1"/>
  <c r="J152" i="2"/>
  <c r="L279" i="2"/>
  <c r="M279" i="2" s="1"/>
  <c r="K89" i="2"/>
  <c r="W89" i="2" s="1"/>
  <c r="J89" i="2"/>
  <c r="L150" i="2"/>
  <c r="M150" i="2" s="1"/>
  <c r="K297" i="2"/>
  <c r="X297" i="2" s="1"/>
  <c r="J297" i="2"/>
  <c r="K214" i="2"/>
  <c r="W214" i="2" s="1"/>
  <c r="J214" i="2"/>
  <c r="J279" i="2"/>
  <c r="K147" i="2"/>
  <c r="U147" i="2" s="1"/>
  <c r="J147" i="2"/>
  <c r="J150" i="2"/>
  <c r="N150" i="2"/>
  <c r="L109" i="2"/>
  <c r="L162" i="2"/>
  <c r="N162" i="2" s="1"/>
  <c r="K232" i="2"/>
  <c r="V232" i="2" s="1"/>
  <c r="J232" i="2"/>
  <c r="K308" i="2"/>
  <c r="V308" i="2" s="1"/>
  <c r="J308" i="2"/>
  <c r="K269" i="2"/>
  <c r="U269" i="2" s="1"/>
  <c r="J269" i="2"/>
  <c r="K278" i="2"/>
  <c r="U278" i="2" s="1"/>
  <c r="J278" i="2"/>
  <c r="K328" i="2"/>
  <c r="U328" i="2" s="1"/>
  <c r="J328" i="2"/>
  <c r="K102" i="2"/>
  <c r="J102" i="2"/>
  <c r="N106" i="2"/>
  <c r="K312" i="2"/>
  <c r="U312" i="2" s="1"/>
  <c r="J312" i="2"/>
  <c r="K159" i="2"/>
  <c r="V159" i="2" s="1"/>
  <c r="J159" i="2"/>
  <c r="L115" i="2"/>
  <c r="N115" i="2" s="1"/>
  <c r="K248" i="2"/>
  <c r="U248" i="2" s="1"/>
  <c r="J248" i="2"/>
  <c r="K97" i="2"/>
  <c r="V97" i="2" s="1"/>
  <c r="J97" i="2"/>
  <c r="K20" i="2"/>
  <c r="J20" i="2"/>
  <c r="K70" i="2"/>
  <c r="W70" i="2" s="1"/>
  <c r="J70" i="2"/>
  <c r="K3" i="2"/>
  <c r="J3" i="2"/>
  <c r="K258" i="2"/>
  <c r="U258" i="2" s="1"/>
  <c r="J258" i="2"/>
  <c r="L171" i="2"/>
  <c r="N171" i="2" s="1"/>
  <c r="L13" i="2"/>
  <c r="N13" i="2" s="1"/>
  <c r="L258" i="2"/>
  <c r="L51" i="2"/>
  <c r="N51" i="2" s="1"/>
  <c r="L67" i="2"/>
  <c r="N67" i="2" s="1"/>
  <c r="K292" i="2"/>
  <c r="U292" i="2" s="1"/>
  <c r="J292" i="2"/>
  <c r="L351" i="2"/>
  <c r="M351" i="2" s="1"/>
  <c r="L164" i="2"/>
  <c r="L125" i="2"/>
  <c r="L65" i="2"/>
  <c r="L250" i="2"/>
  <c r="M250" i="2" s="1"/>
  <c r="L360" i="2"/>
  <c r="M360" i="2" s="1"/>
  <c r="L73" i="2"/>
  <c r="N73" i="2" s="1"/>
  <c r="L107" i="2"/>
  <c r="N107" i="2" s="1"/>
  <c r="L266" i="2"/>
  <c r="M266" i="2" s="1"/>
  <c r="K131" i="2"/>
  <c r="J131" i="2"/>
  <c r="L154" i="2"/>
  <c r="N154" i="2" s="1"/>
  <c r="L313" i="2"/>
  <c r="L100" i="2"/>
  <c r="L97" i="2"/>
  <c r="K181" i="2"/>
  <c r="W181" i="2" s="1"/>
  <c r="J181" i="2"/>
  <c r="L322" i="2"/>
  <c r="M322" i="2" s="1"/>
  <c r="L308" i="2"/>
  <c r="L248" i="2"/>
  <c r="L226" i="2"/>
  <c r="L346" i="2"/>
  <c r="M346" i="2" s="1"/>
  <c r="K229" i="2"/>
  <c r="X229" i="2" s="1"/>
  <c r="J229" i="2"/>
  <c r="L159" i="2"/>
  <c r="N279" i="2"/>
  <c r="L91" i="2"/>
  <c r="N91" i="2" s="1"/>
  <c r="L120" i="2"/>
  <c r="L27" i="2"/>
  <c r="N27" i="2" s="1"/>
  <c r="L336" i="2"/>
  <c r="M336" i="2" s="1"/>
  <c r="L278" i="2"/>
  <c r="L15" i="2"/>
  <c r="L87" i="2"/>
  <c r="L178" i="2"/>
  <c r="N178" i="2" s="1"/>
  <c r="L95" i="2"/>
  <c r="L218" i="2"/>
  <c r="M218" i="2" s="1"/>
  <c r="L181" i="2"/>
  <c r="L58" i="2"/>
  <c r="L108" i="2"/>
  <c r="M108" i="2" s="1"/>
  <c r="L101" i="2"/>
  <c r="L141" i="2"/>
  <c r="N141" i="2" s="1"/>
  <c r="L210" i="2"/>
  <c r="N210" i="2" s="1"/>
  <c r="L131" i="2"/>
  <c r="L88" i="2"/>
  <c r="N88" i="2" s="1"/>
  <c r="L59" i="2"/>
  <c r="L18" i="2"/>
  <c r="L179" i="2"/>
  <c r="M179" i="2" s="1"/>
  <c r="L134" i="2"/>
  <c r="L138" i="2"/>
  <c r="L315" i="2"/>
  <c r="L135" i="2"/>
  <c r="N135" i="2" s="1"/>
  <c r="L79" i="2"/>
  <c r="L350" i="2"/>
  <c r="M350" i="2" s="1"/>
  <c r="L16" i="2"/>
  <c r="L327" i="2"/>
  <c r="M327" i="2" s="1"/>
  <c r="L161" i="2"/>
  <c r="N161" i="2" s="1"/>
  <c r="L89" i="2"/>
  <c r="L69" i="2"/>
  <c r="N69" i="2" s="1"/>
  <c r="L39" i="2"/>
  <c r="N39" i="2" s="1"/>
  <c r="L205" i="2"/>
  <c r="N205" i="2" s="1"/>
  <c r="L70" i="2"/>
  <c r="L212" i="2"/>
  <c r="L328" i="2"/>
  <c r="L196" i="2"/>
  <c r="M196" i="2" s="1"/>
  <c r="L75" i="2"/>
  <c r="N75" i="2" s="1"/>
  <c r="L23" i="2"/>
  <c r="L211" i="2"/>
  <c r="L255" i="2"/>
  <c r="N255" i="2" s="1"/>
  <c r="L232" i="2"/>
  <c r="L5" i="2"/>
  <c r="L137" i="2"/>
  <c r="N137" i="2" s="1"/>
  <c r="L349" i="2"/>
  <c r="M349" i="2" s="1"/>
  <c r="L147" i="2"/>
  <c r="L94" i="2"/>
  <c r="L20" i="2"/>
  <c r="L48" i="2"/>
  <c r="N48" i="2" s="1"/>
  <c r="L217" i="2"/>
  <c r="L241" i="2"/>
  <c r="N241" i="2" s="1"/>
  <c r="L9" i="2"/>
  <c r="N9" i="2" s="1"/>
  <c r="L214" i="2"/>
  <c r="L43" i="2"/>
  <c r="M43" i="2" s="1"/>
  <c r="L90" i="2"/>
  <c r="N90" i="2" s="1"/>
  <c r="L269" i="2"/>
  <c r="L292" i="2"/>
  <c r="L152" i="2"/>
  <c r="L82" i="2"/>
  <c r="L364" i="2"/>
  <c r="M364" i="2" s="1"/>
  <c r="L7" i="2"/>
  <c r="L247" i="2"/>
  <c r="L102" i="2"/>
  <c r="L31" i="2"/>
  <c r="L119" i="2"/>
  <c r="N119" i="2" s="1"/>
  <c r="L96" i="2"/>
  <c r="N96" i="2" s="1"/>
  <c r="K96" i="2"/>
  <c r="V96" i="2" s="1"/>
  <c r="L192" i="2"/>
  <c r="K192" i="2"/>
  <c r="V192" i="2" s="1"/>
  <c r="L169" i="2"/>
  <c r="N169" i="2" s="1"/>
  <c r="K169" i="2"/>
  <c r="W169" i="2" s="1"/>
  <c r="L195" i="2"/>
  <c r="K195" i="2"/>
  <c r="V195" i="2" s="1"/>
  <c r="L30" i="2"/>
  <c r="N30" i="2" s="1"/>
  <c r="K30" i="2"/>
  <c r="W30" i="2" s="1"/>
  <c r="L184" i="2"/>
  <c r="N184" i="2" s="1"/>
  <c r="K184" i="2"/>
  <c r="V184" i="2" s="1"/>
  <c r="L149" i="2"/>
  <c r="K149" i="2"/>
  <c r="W149" i="2" s="1"/>
  <c r="L256" i="2"/>
  <c r="K256" i="2"/>
  <c r="U256" i="2" s="1"/>
  <c r="L221" i="2"/>
  <c r="K221" i="2"/>
  <c r="W221" i="2" s="1"/>
  <c r="L180" i="2"/>
  <c r="K180" i="2"/>
  <c r="U180" i="2" s="1"/>
  <c r="L64" i="2"/>
  <c r="N64" i="2" s="1"/>
  <c r="K64" i="2"/>
  <c r="L208" i="2"/>
  <c r="K208" i="2"/>
  <c r="U208" i="2" s="1"/>
  <c r="L166" i="2"/>
  <c r="K166" i="2"/>
  <c r="W166" i="2" s="1"/>
  <c r="L12" i="2"/>
  <c r="N12" i="2" s="1"/>
  <c r="K12" i="2"/>
  <c r="W12" i="2" s="1"/>
  <c r="L132" i="2"/>
  <c r="K132" i="2"/>
  <c r="L325" i="2"/>
  <c r="K325" i="2"/>
  <c r="U325" i="2" s="1"/>
  <c r="L22" i="2"/>
  <c r="K22" i="2"/>
  <c r="U22" i="2" s="1"/>
  <c r="L142" i="2"/>
  <c r="K142" i="2"/>
  <c r="W142" i="2" s="1"/>
  <c r="L25" i="2"/>
  <c r="K25" i="2"/>
  <c r="W25" i="2" s="1"/>
  <c r="L133" i="2"/>
  <c r="K133" i="2"/>
  <c r="L14" i="2"/>
  <c r="K14" i="2"/>
  <c r="V14" i="2" s="1"/>
  <c r="L117" i="2"/>
  <c r="K117" i="2"/>
  <c r="L146" i="2"/>
  <c r="K146" i="2"/>
  <c r="L10" i="2"/>
  <c r="N10" i="2" s="1"/>
  <c r="K10" i="2"/>
  <c r="W10" i="2" s="1"/>
  <c r="L105" i="2"/>
  <c r="N105" i="2" s="1"/>
  <c r="K105" i="2"/>
  <c r="L254" i="2"/>
  <c r="L216" i="2"/>
  <c r="K216" i="2"/>
  <c r="V216" i="2" s="1"/>
  <c r="L342" i="2"/>
  <c r="M342" i="2" s="1"/>
  <c r="L185" i="2"/>
  <c r="K185" i="2"/>
  <c r="V185" i="2" s="1"/>
  <c r="L284" i="2"/>
  <c r="K284" i="2"/>
  <c r="X284" i="2" s="1"/>
  <c r="L40" i="2"/>
  <c r="N40" i="2" s="1"/>
  <c r="K40" i="2"/>
  <c r="W40" i="2" s="1"/>
  <c r="L6" i="2"/>
  <c r="N6" i="2" s="1"/>
  <c r="L362" i="2"/>
  <c r="K362" i="2"/>
  <c r="U362" i="2" s="1"/>
  <c r="L312" i="2"/>
  <c r="L317" i="2"/>
  <c r="K317" i="2"/>
  <c r="X317" i="2" s="1"/>
  <c r="L170" i="2"/>
  <c r="N170" i="2" s="1"/>
  <c r="K170" i="2"/>
  <c r="L35" i="2"/>
  <c r="K35" i="2"/>
  <c r="V35" i="2" s="1"/>
  <c r="L121" i="2"/>
  <c r="N121" i="2" s="1"/>
  <c r="K121" i="2"/>
  <c r="U121" i="2" s="1"/>
  <c r="L57" i="2"/>
  <c r="K57" i="2"/>
  <c r="V57" i="2" s="1"/>
  <c r="L19" i="2"/>
  <c r="K19" i="2"/>
  <c r="L46" i="2"/>
  <c r="N46" i="2" s="1"/>
  <c r="K46" i="2"/>
  <c r="V46" i="2" s="1"/>
  <c r="L287" i="2"/>
  <c r="K287" i="2"/>
  <c r="U287" i="2" s="1"/>
  <c r="L306" i="2"/>
  <c r="K306" i="2"/>
  <c r="X306" i="2" s="1"/>
  <c r="L118" i="2"/>
  <c r="N118" i="2" s="1"/>
  <c r="K118" i="2"/>
  <c r="L41" i="2"/>
  <c r="N41" i="2" s="1"/>
  <c r="K41" i="2"/>
  <c r="L99" i="2"/>
  <c r="N99" i="2" s="1"/>
  <c r="K99" i="2"/>
  <c r="V99" i="2" s="1"/>
  <c r="L268" i="2"/>
  <c r="N268" i="2" s="1"/>
  <c r="K268" i="2"/>
  <c r="V268" i="2" s="1"/>
  <c r="L314" i="2"/>
  <c r="K314" i="2"/>
  <c r="U314" i="2" s="1"/>
  <c r="L37" i="2"/>
  <c r="N37" i="2" s="1"/>
  <c r="K37" i="2"/>
  <c r="L283" i="2"/>
  <c r="K283" i="2"/>
  <c r="X283" i="2" s="1"/>
  <c r="L343" i="2"/>
  <c r="K343" i="2"/>
  <c r="U343" i="2" s="1"/>
  <c r="L200" i="2"/>
  <c r="K200" i="2"/>
  <c r="W200" i="2" s="1"/>
  <c r="L333" i="2"/>
  <c r="K333" i="2"/>
  <c r="U333" i="2" s="1"/>
  <c r="L113" i="2"/>
  <c r="N113" i="2" s="1"/>
  <c r="K113" i="2"/>
  <c r="L354" i="2"/>
  <c r="K354" i="2"/>
  <c r="X354" i="2" s="1"/>
  <c r="L238" i="2"/>
  <c r="K238" i="2"/>
  <c r="W238" i="2" s="1"/>
  <c r="L155" i="2"/>
  <c r="K155" i="2"/>
  <c r="W155" i="2" s="1"/>
  <c r="L277" i="2"/>
  <c r="K277" i="2"/>
  <c r="U277" i="2" s="1"/>
  <c r="L225" i="2"/>
  <c r="K225" i="2"/>
  <c r="V225" i="2" s="1"/>
  <c r="L335" i="2"/>
  <c r="K335" i="2"/>
  <c r="U335" i="2" s="1"/>
  <c r="L280" i="2"/>
  <c r="N280" i="2" s="1"/>
  <c r="K280" i="2"/>
  <c r="U280" i="2" s="1"/>
  <c r="L176" i="2"/>
  <c r="K176" i="2"/>
  <c r="V176" i="2" s="1"/>
  <c r="L122" i="2"/>
  <c r="K122" i="2"/>
  <c r="W122" i="2" s="1"/>
  <c r="L264" i="2"/>
  <c r="N264" i="2" s="1"/>
  <c r="K264" i="2"/>
  <c r="U264" i="2" s="1"/>
  <c r="L49" i="2"/>
  <c r="K49" i="2"/>
  <c r="W49" i="2" s="1"/>
  <c r="L126" i="2"/>
  <c r="N126" i="2" s="1"/>
  <c r="K126" i="2"/>
  <c r="V126" i="2" s="1"/>
  <c r="L249" i="2"/>
  <c r="K249" i="2"/>
  <c r="U249" i="2" s="1"/>
  <c r="L114" i="2"/>
  <c r="K114" i="2"/>
  <c r="L204" i="2"/>
  <c r="K204" i="2"/>
  <c r="V204" i="2" s="1"/>
  <c r="L227" i="2"/>
  <c r="K227" i="2"/>
  <c r="W227" i="2" s="1"/>
  <c r="L183" i="2"/>
  <c r="K183" i="2"/>
  <c r="V183" i="2" s="1"/>
  <c r="L267" i="2"/>
  <c r="N267" i="2" s="1"/>
  <c r="K267" i="2"/>
  <c r="V267" i="2" s="1"/>
  <c r="L144" i="2"/>
  <c r="K144" i="2"/>
  <c r="V144" i="2" s="1"/>
  <c r="L165" i="2"/>
  <c r="K165" i="2"/>
  <c r="W165" i="2" s="1"/>
  <c r="L68" i="2"/>
  <c r="N68" i="2" s="1"/>
  <c r="K68" i="2"/>
  <c r="W68" i="2" s="1"/>
  <c r="L190" i="2"/>
  <c r="K190" i="2"/>
  <c r="V190" i="2" s="1"/>
  <c r="L219" i="2"/>
  <c r="K219" i="2"/>
  <c r="W219" i="2" s="1"/>
  <c r="L112" i="2"/>
  <c r="K112" i="2"/>
  <c r="W112" i="2" s="1"/>
  <c r="L173" i="2"/>
  <c r="N173" i="2" s="1"/>
  <c r="K173" i="2"/>
  <c r="V173" i="2" s="1"/>
  <c r="L270" i="2"/>
  <c r="K270" i="2"/>
  <c r="V270" i="2" s="1"/>
  <c r="L259" i="2"/>
  <c r="K259" i="2"/>
  <c r="U259" i="2" s="1"/>
  <c r="L72" i="2"/>
  <c r="N72" i="2" s="1"/>
  <c r="K72" i="2"/>
  <c r="W72" i="2" s="1"/>
  <c r="L261" i="2"/>
  <c r="N261" i="2" s="1"/>
  <c r="K261" i="2"/>
  <c r="V261" i="2" s="1"/>
  <c r="L139" i="2"/>
  <c r="K139" i="2"/>
  <c r="W139" i="2" s="1"/>
  <c r="L236" i="2"/>
  <c r="K236" i="2"/>
  <c r="U236" i="2" s="1"/>
  <c r="L34" i="2"/>
  <c r="K34" i="2"/>
  <c r="V34" i="2" s="1"/>
  <c r="L2" i="2"/>
  <c r="K2" i="2"/>
  <c r="W2" i="2" s="1"/>
  <c r="L291" i="2"/>
  <c r="K291" i="2"/>
  <c r="U291" i="2" s="1"/>
  <c r="L303" i="2"/>
  <c r="K303" i="2"/>
  <c r="U303" i="2" s="1"/>
  <c r="L297" i="2"/>
  <c r="L203" i="2"/>
  <c r="K203" i="2"/>
  <c r="V203" i="2" s="1"/>
  <c r="L104" i="2"/>
  <c r="N104" i="2" s="1"/>
  <c r="K104" i="2"/>
  <c r="L156" i="2"/>
  <c r="K156" i="2"/>
  <c r="W156" i="2" s="1"/>
  <c r="L163" i="2"/>
  <c r="N163" i="2" s="1"/>
  <c r="K163" i="2"/>
  <c r="U163" i="2" s="1"/>
  <c r="L285" i="2"/>
  <c r="K285" i="2"/>
  <c r="U285" i="2" s="1"/>
  <c r="L191" i="2"/>
  <c r="N191" i="2" s="1"/>
  <c r="K191" i="2"/>
  <c r="V191" i="2" s="1"/>
  <c r="L243" i="2"/>
  <c r="K243" i="2"/>
  <c r="V243" i="2" s="1"/>
  <c r="L71" i="2"/>
  <c r="N71" i="2" s="1"/>
  <c r="K71" i="2"/>
  <c r="W71" i="2" s="1"/>
  <c r="L341" i="2"/>
  <c r="K341" i="2"/>
  <c r="X341" i="2" s="1"/>
  <c r="L182" i="2"/>
  <c r="K182" i="2"/>
  <c r="V182" i="2" s="1"/>
  <c r="L74" i="2"/>
  <c r="N74" i="2" s="1"/>
  <c r="K74" i="2"/>
  <c r="W74" i="2" s="1"/>
  <c r="L47" i="2"/>
  <c r="N47" i="2" s="1"/>
  <c r="K47" i="2"/>
  <c r="U47" i="2" s="1"/>
  <c r="L76" i="2"/>
  <c r="L151" i="2"/>
  <c r="N151" i="2" s="1"/>
  <c r="K151" i="2"/>
  <c r="W151" i="2" s="1"/>
  <c r="L129" i="2"/>
  <c r="N129" i="2" s="1"/>
  <c r="K129" i="2"/>
  <c r="X129" i="2" s="1"/>
  <c r="L229" i="2"/>
  <c r="L302" i="2"/>
  <c r="K302" i="2"/>
  <c r="X302" i="2" s="1"/>
  <c r="L77" i="2"/>
  <c r="N77" i="2" s="1"/>
  <c r="K77" i="2"/>
  <c r="V77" i="2" s="1"/>
  <c r="L177" i="2"/>
  <c r="N177" i="2" s="1"/>
  <c r="K177" i="2"/>
  <c r="X177" i="2" s="1"/>
  <c r="L242" i="2"/>
  <c r="K242" i="2"/>
  <c r="V242" i="2" s="1"/>
  <c r="L98" i="2"/>
  <c r="K98" i="2"/>
  <c r="V98" i="2" s="1"/>
  <c r="L143" i="2"/>
  <c r="N143" i="2" s="1"/>
  <c r="L348" i="2"/>
  <c r="K348" i="2"/>
  <c r="U348" i="2" s="1"/>
  <c r="L186" i="2"/>
  <c r="K186" i="2"/>
  <c r="U186" i="2" s="1"/>
  <c r="L66" i="2"/>
  <c r="N66" i="2" s="1"/>
  <c r="K66" i="2"/>
  <c r="W66" i="2" s="1"/>
  <c r="L199" i="2"/>
  <c r="K199" i="2"/>
  <c r="V199" i="2" s="1"/>
  <c r="L80" i="2"/>
  <c r="K80" i="2"/>
  <c r="V80" i="2" s="1"/>
  <c r="L237" i="2"/>
  <c r="N237" i="2" s="1"/>
  <c r="K237" i="2"/>
  <c r="V237" i="2" s="1"/>
  <c r="L56" i="2"/>
  <c r="N56" i="2" s="1"/>
  <c r="K56" i="2"/>
  <c r="W56" i="2" s="1"/>
  <c r="L4" i="2"/>
  <c r="N4" i="2" s="1"/>
  <c r="K4" i="2"/>
  <c r="L263" i="2"/>
  <c r="K263" i="2"/>
  <c r="W263" i="2" s="1"/>
  <c r="L273" i="2"/>
  <c r="K273" i="2"/>
  <c r="V273" i="2" s="1"/>
  <c r="L260" i="2"/>
  <c r="K260" i="2"/>
  <c r="V260" i="2" s="1"/>
  <c r="L275" i="2"/>
  <c r="K275" i="2"/>
  <c r="V275" i="2" s="1"/>
  <c r="L289" i="2"/>
  <c r="K289" i="2"/>
  <c r="X289" i="2" s="1"/>
  <c r="L197" i="2"/>
  <c r="K197" i="2"/>
  <c r="U197" i="2" s="1"/>
  <c r="L234" i="2"/>
  <c r="K234" i="2"/>
  <c r="V234" i="2" s="1"/>
  <c r="L222" i="2"/>
  <c r="N222" i="2" s="1"/>
  <c r="K222" i="2"/>
  <c r="V222" i="2" s="1"/>
  <c r="L257" i="2"/>
  <c r="K257" i="2"/>
  <c r="V257" i="2" s="1"/>
  <c r="L63" i="2"/>
  <c r="N63" i="2" s="1"/>
  <c r="K63" i="2"/>
  <c r="X63" i="2" s="1"/>
  <c r="L128" i="2"/>
  <c r="L332" i="2"/>
  <c r="K332" i="2"/>
  <c r="X332" i="2" s="1"/>
  <c r="L136" i="2"/>
  <c r="K136" i="2"/>
  <c r="U136" i="2" s="1"/>
  <c r="L153" i="2"/>
  <c r="K153" i="2"/>
  <c r="W153" i="2" s="1"/>
  <c r="L295" i="2"/>
  <c r="K295" i="2"/>
  <c r="V295" i="2" s="1"/>
  <c r="L55" i="2"/>
  <c r="K55" i="2"/>
  <c r="W55" i="2" s="1"/>
  <c r="L158" i="2"/>
  <c r="K158" i="2"/>
  <c r="V158" i="2" s="1"/>
  <c r="L274" i="2"/>
  <c r="K274" i="2"/>
  <c r="V274" i="2" s="1"/>
  <c r="L86" i="2"/>
  <c r="N86" i="2" s="1"/>
  <c r="K86" i="2"/>
  <c r="U86" i="2" s="1"/>
  <c r="L228" i="2"/>
  <c r="K228" i="2"/>
  <c r="W228" i="2" s="1"/>
  <c r="L240" i="2"/>
  <c r="K240" i="2"/>
  <c r="L50" i="2"/>
  <c r="K50" i="2"/>
  <c r="W50" i="2" s="1"/>
  <c r="L111" i="2"/>
  <c r="K111" i="2"/>
  <c r="W111" i="2" s="1"/>
  <c r="L172" i="2"/>
  <c r="K172" i="2"/>
  <c r="V172" i="2" s="1"/>
  <c r="L189" i="2"/>
  <c r="K189" i="2"/>
  <c r="V189" i="2" s="1"/>
  <c r="L11" i="2"/>
  <c r="N11" i="2" s="1"/>
  <c r="K11" i="2"/>
  <c r="W11" i="2" s="1"/>
  <c r="L187" i="2"/>
  <c r="N187" i="2" s="1"/>
  <c r="K187" i="2"/>
  <c r="V187" i="2" s="1"/>
  <c r="L116" i="2"/>
  <c r="K116" i="2"/>
  <c r="V116" i="2" s="1"/>
  <c r="L174" i="2"/>
  <c r="K174" i="2"/>
  <c r="V174" i="2" s="1"/>
  <c r="L92" i="2"/>
  <c r="K92" i="2"/>
  <c r="W92" i="2" s="1"/>
  <c r="L8" i="2"/>
  <c r="K8" i="2"/>
  <c r="W8" i="2" s="1"/>
  <c r="L310" i="2"/>
  <c r="K310" i="2"/>
  <c r="V310" i="2" s="1"/>
  <c r="L38" i="2"/>
  <c r="N38" i="2" s="1"/>
  <c r="K38" i="2"/>
  <c r="U38" i="2" s="1"/>
  <c r="L167" i="2"/>
  <c r="K167" i="2"/>
  <c r="W167" i="2" s="1"/>
  <c r="L371" i="2"/>
  <c r="M371" i="2" s="1"/>
  <c r="L340" i="2"/>
  <c r="K340" i="2"/>
  <c r="X340" i="2" s="1"/>
  <c r="L339" i="2"/>
  <c r="K339" i="2"/>
  <c r="U339" i="2" s="1"/>
  <c r="L130" i="2"/>
  <c r="K130" i="2"/>
  <c r="L52" i="2"/>
  <c r="N52" i="2" s="1"/>
  <c r="K52" i="2"/>
  <c r="W52" i="2" s="1"/>
  <c r="L318" i="2"/>
  <c r="K318" i="2"/>
  <c r="X318" i="2" s="1"/>
  <c r="L145" i="2"/>
  <c r="K145" i="2"/>
  <c r="L140" i="2"/>
  <c r="K140" i="2"/>
  <c r="W140" i="2" s="1"/>
  <c r="L84" i="2"/>
  <c r="N84" i="2" s="1"/>
  <c r="K84" i="2"/>
  <c r="L262" i="2"/>
  <c r="K262" i="2"/>
  <c r="X262" i="2" s="1"/>
  <c r="L319" i="2"/>
  <c r="K319" i="2"/>
  <c r="X319" i="2" s="1"/>
  <c r="L213" i="2"/>
  <c r="K213" i="2"/>
  <c r="W213" i="2" s="1"/>
  <c r="L78" i="2"/>
  <c r="N78" i="2" s="1"/>
  <c r="K78" i="2"/>
  <c r="V78" i="2" s="1"/>
  <c r="L326" i="2"/>
  <c r="K326" i="2"/>
  <c r="X326" i="2" s="1"/>
  <c r="L246" i="2"/>
  <c r="N246" i="2" s="1"/>
  <c r="K246" i="2"/>
  <c r="X246" i="2" s="1"/>
  <c r="L207" i="2"/>
  <c r="N207" i="2" s="1"/>
  <c r="K207" i="2"/>
  <c r="U207" i="2" s="1"/>
  <c r="L276" i="2"/>
  <c r="K276" i="2"/>
  <c r="X276" i="2" s="1"/>
  <c r="L60" i="2"/>
  <c r="K60" i="2"/>
  <c r="V60" i="2" s="1"/>
  <c r="L188" i="2"/>
  <c r="K188" i="2"/>
  <c r="V188" i="2" s="1"/>
  <c r="L271" i="2"/>
  <c r="K271" i="2"/>
  <c r="V271" i="2" s="1"/>
  <c r="L32" i="2"/>
  <c r="K32" i="2"/>
  <c r="V32" i="2" s="1"/>
  <c r="L194" i="2"/>
  <c r="N194" i="2" s="1"/>
  <c r="K194" i="2"/>
  <c r="V194" i="2" s="1"/>
  <c r="L24" i="2"/>
  <c r="K24" i="2"/>
  <c r="W24" i="2" s="1"/>
  <c r="L294" i="2"/>
  <c r="K294" i="2"/>
  <c r="U294" i="2" s="1"/>
  <c r="L244" i="2"/>
  <c r="K244" i="2"/>
  <c r="V244" i="2" s="1"/>
  <c r="L175" i="2"/>
  <c r="K175" i="2"/>
  <c r="V175" i="2" s="1"/>
  <c r="L265" i="2"/>
  <c r="N265" i="2" s="1"/>
  <c r="K265" i="2"/>
  <c r="U265" i="2" s="1"/>
  <c r="L81" i="2"/>
  <c r="N81" i="2" s="1"/>
  <c r="K81" i="2"/>
  <c r="X81" i="2" s="1"/>
  <c r="L93" i="2"/>
  <c r="N93" i="2" s="1"/>
  <c r="L337" i="2"/>
  <c r="K337" i="2"/>
  <c r="X337" i="2" s="1"/>
  <c r="L42" i="2"/>
  <c r="K42" i="2"/>
  <c r="V42" i="2" s="1"/>
  <c r="L239" i="2"/>
  <c r="K239" i="2"/>
  <c r="V239" i="2" s="1"/>
  <c r="L124" i="2"/>
  <c r="K124" i="2"/>
  <c r="V124" i="2" s="1"/>
  <c r="L85" i="2"/>
  <c r="K85" i="2"/>
  <c r="L44" i="2"/>
  <c r="L233" i="2"/>
  <c r="K233" i="2"/>
  <c r="W233" i="2" s="1"/>
  <c r="L329" i="2"/>
  <c r="L281" i="2"/>
  <c r="K281" i="2"/>
  <c r="W281" i="2" s="1"/>
  <c r="L54" i="2"/>
  <c r="K54" i="2"/>
  <c r="W54" i="2" s="1"/>
  <c r="L323" i="2"/>
  <c r="K323" i="2"/>
  <c r="U323" i="2" s="1"/>
  <c r="L251" i="2"/>
  <c r="K251" i="2"/>
  <c r="U251" i="2" s="1"/>
  <c r="L193" i="2"/>
  <c r="K193" i="2"/>
  <c r="V193" i="2" s="1"/>
  <c r="L160" i="2"/>
  <c r="N160" i="2" s="1"/>
  <c r="K160" i="2"/>
  <c r="V160" i="2" s="1"/>
  <c r="L62" i="2"/>
  <c r="K62" i="2"/>
  <c r="V62" i="2" s="1"/>
  <c r="L253" i="2"/>
  <c r="K253" i="2"/>
  <c r="V253" i="2" s="1"/>
  <c r="L83" i="2"/>
  <c r="N83" i="2" s="1"/>
  <c r="L26" i="2"/>
  <c r="N26" i="2" s="1"/>
  <c r="K26" i="2"/>
  <c r="W26" i="2" s="1"/>
  <c r="L215" i="2"/>
  <c r="K215" i="2"/>
  <c r="V215" i="2" s="1"/>
  <c r="L252" i="2"/>
  <c r="K252" i="2"/>
  <c r="U252" i="2" s="1"/>
  <c r="L220" i="2"/>
  <c r="K220" i="2"/>
  <c r="W220" i="2" s="1"/>
  <c r="L235" i="2"/>
  <c r="K235" i="2"/>
  <c r="V235" i="2" s="1"/>
  <c r="L33" i="2"/>
  <c r="N33" i="2" s="1"/>
  <c r="K33" i="2"/>
  <c r="V33" i="2" s="1"/>
  <c r="L245" i="2"/>
  <c r="M245" i="2" s="1"/>
  <c r="L127" i="2"/>
  <c r="N127" i="2" s="1"/>
  <c r="K127" i="2"/>
  <c r="V127" i="2" s="1"/>
  <c r="L36" i="2"/>
  <c r="K36" i="2"/>
  <c r="L355" i="2"/>
  <c r="M355" i="2" s="1"/>
  <c r="L307" i="2"/>
  <c r="K307" i="2"/>
  <c r="U307" i="2" s="1"/>
  <c r="L110" i="2"/>
  <c r="N110" i="2" s="1"/>
  <c r="K110" i="2"/>
  <c r="W110" i="2" s="1"/>
  <c r="L209" i="2"/>
  <c r="K209" i="2"/>
  <c r="U209" i="2" s="1"/>
  <c r="L103" i="2"/>
  <c r="N103" i="2" s="1"/>
  <c r="K103" i="2"/>
  <c r="L53" i="2"/>
  <c r="N53" i="2" s="1"/>
  <c r="K53" i="2"/>
  <c r="W53" i="2" s="1"/>
  <c r="L123" i="2"/>
  <c r="K123" i="2"/>
  <c r="V123" i="2" s="1"/>
  <c r="L29" i="2"/>
  <c r="K29" i="2"/>
  <c r="W29" i="2" s="1"/>
  <c r="L230" i="2"/>
  <c r="K230" i="2"/>
  <c r="L148" i="2"/>
  <c r="K148" i="2"/>
  <c r="U148" i="2" s="1"/>
  <c r="L309" i="2"/>
  <c r="K309" i="2"/>
  <c r="U309" i="2" s="1"/>
  <c r="L61" i="2"/>
  <c r="K61" i="2"/>
  <c r="V61" i="2" s="1"/>
  <c r="L17" i="2"/>
  <c r="K17" i="2"/>
  <c r="L21" i="2"/>
  <c r="K21" i="2"/>
  <c r="L28" i="2"/>
  <c r="K28" i="2"/>
  <c r="W28" i="2" s="1"/>
  <c r="L361" i="2"/>
  <c r="M361" i="2" s="1"/>
  <c r="L353" i="2"/>
  <c r="M353" i="2" s="1"/>
  <c r="L45" i="2"/>
  <c r="M45" i="2" s="1"/>
  <c r="L202" i="2"/>
  <c r="M202" i="2" s="1"/>
  <c r="L344" i="2"/>
  <c r="M344" i="2" s="1"/>
  <c r="L366" i="2"/>
  <c r="M366" i="2" s="1"/>
  <c r="L311" i="2"/>
  <c r="M311" i="2" s="1"/>
  <c r="L359" i="2"/>
  <c r="M359" i="2" s="1"/>
  <c r="L282" i="2"/>
  <c r="M282" i="2" s="1"/>
  <c r="L290" i="2"/>
  <c r="M290" i="2" s="1"/>
  <c r="L334" i="2"/>
  <c r="M334" i="2" s="1"/>
  <c r="L345" i="2"/>
  <c r="M345" i="2" s="1"/>
  <c r="L298" i="2"/>
  <c r="M298" i="2" s="1"/>
  <c r="L357" i="2"/>
  <c r="M357" i="2" s="1"/>
  <c r="L223" i="2"/>
  <c r="M223" i="2" s="1"/>
  <c r="L286" i="2"/>
  <c r="M286" i="2" s="1"/>
  <c r="L168" i="2"/>
  <c r="M168" i="2" s="1"/>
  <c r="L296" i="2"/>
  <c r="M296" i="2" s="1"/>
  <c r="L301" i="2"/>
  <c r="M301" i="2" s="1"/>
  <c r="L320" i="2"/>
  <c r="M320" i="2" s="1"/>
  <c r="L300" i="2"/>
  <c r="M300" i="2" s="1"/>
  <c r="L356" i="2"/>
  <c r="M356" i="2" s="1"/>
  <c r="L316" i="2"/>
  <c r="M316" i="2" s="1"/>
  <c r="L330" i="2"/>
  <c r="M330" i="2" s="1"/>
  <c r="L304" i="2"/>
  <c r="M304" i="2" s="1"/>
  <c r="L358" i="2"/>
  <c r="M358" i="2" s="1"/>
  <c r="L373" i="2"/>
  <c r="M373" i="2" s="1"/>
  <c r="L331" i="2"/>
  <c r="M331" i="2" s="1"/>
  <c r="L299" i="2"/>
  <c r="M299" i="2" s="1"/>
  <c r="L363" i="2"/>
  <c r="M363" i="2" s="1"/>
  <c r="L224" i="2"/>
  <c r="M224" i="2" s="1"/>
  <c r="L368" i="2"/>
  <c r="M368" i="2" s="1"/>
  <c r="L198" i="2"/>
  <c r="M198" i="2" s="1"/>
  <c r="L305" i="2"/>
  <c r="M305" i="2" s="1"/>
  <c r="L370" i="2"/>
  <c r="M370" i="2" s="1"/>
  <c r="L157" i="2"/>
  <c r="M157" i="2" s="1"/>
  <c r="L324" i="2"/>
  <c r="M324" i="2" s="1"/>
  <c r="L321" i="2"/>
  <c r="M321" i="2" s="1"/>
  <c r="L293" i="2"/>
  <c r="M293" i="2" s="1"/>
  <c r="L367" i="2"/>
  <c r="M367" i="2" s="1"/>
  <c r="L3" i="2"/>
  <c r="M3" i="2" s="1"/>
  <c r="L365" i="2"/>
  <c r="M365" i="2" s="1"/>
  <c r="L372" i="2"/>
  <c r="M372" i="2" s="1"/>
  <c r="L352" i="2"/>
  <c r="M352" i="2" s="1"/>
  <c r="L288" i="2"/>
  <c r="M288" i="2" s="1"/>
  <c r="L206" i="2"/>
  <c r="M206" i="2" s="1"/>
  <c r="L338" i="2"/>
  <c r="M338" i="2" s="1"/>
  <c r="L374" i="2"/>
  <c r="M374" i="2" s="1"/>
  <c r="L369" i="2"/>
  <c r="M369" i="2" s="1"/>
  <c r="L347" i="2"/>
  <c r="M347" i="2" s="1"/>
  <c r="B15" i="4" a="1"/>
  <c r="B15" i="4" s="1"/>
  <c r="B6" i="4" a="1"/>
  <c r="B6" i="4" s="1"/>
  <c r="J6" i="4" s="1"/>
  <c r="B7" i="4" a="1"/>
  <c r="B7" i="4" s="1"/>
  <c r="B8" i="4" a="1"/>
  <c r="B8" i="4" s="1"/>
  <c r="B9" i="4" a="1"/>
  <c r="B9" i="4" s="1"/>
  <c r="B10" i="4" a="1"/>
  <c r="B10" i="4" s="1"/>
  <c r="B11" i="4" a="1"/>
  <c r="B11" i="4" s="1"/>
  <c r="B12" i="4" a="1"/>
  <c r="B12" i="4" s="1"/>
  <c r="B13" i="4" a="1"/>
  <c r="B13" i="4" s="1"/>
  <c r="B14" i="4" a="1"/>
  <c r="B14" i="4" s="1"/>
  <c r="N235" i="2" l="1"/>
  <c r="M235" i="2"/>
  <c r="N49" i="2"/>
  <c r="M49" i="2"/>
  <c r="N226" i="2"/>
  <c r="M226" i="2"/>
  <c r="N54" i="2"/>
  <c r="M54" i="2"/>
  <c r="N175" i="2"/>
  <c r="M175" i="2"/>
  <c r="N50" i="2"/>
  <c r="M50" i="2"/>
  <c r="N58" i="2"/>
  <c r="M58" i="2"/>
  <c r="N100" i="2"/>
  <c r="M100" i="2"/>
  <c r="N31" i="2"/>
  <c r="M31" i="2"/>
  <c r="N217" i="2"/>
  <c r="M217" i="2"/>
  <c r="N36" i="2"/>
  <c r="M36" i="2"/>
  <c r="N79" i="2"/>
  <c r="M79" i="2"/>
  <c r="N220" i="2"/>
  <c r="M220" i="2"/>
  <c r="N233" i="2"/>
  <c r="M233" i="2"/>
  <c r="N156" i="2"/>
  <c r="M156" i="2"/>
  <c r="N87" i="2"/>
  <c r="M87" i="2"/>
  <c r="N34" i="2"/>
  <c r="M34" i="2"/>
  <c r="N144" i="2"/>
  <c r="M144" i="2"/>
  <c r="N153" i="2"/>
  <c r="M153" i="2"/>
  <c r="N116" i="2"/>
  <c r="M116" i="2"/>
  <c r="N307" i="2"/>
  <c r="M307" i="2"/>
  <c r="N221" i="2"/>
  <c r="M221" i="2"/>
  <c r="N142" i="2"/>
  <c r="M142" i="2"/>
  <c r="N16" i="2"/>
  <c r="M16" i="2"/>
  <c r="N109" i="2"/>
  <c r="M109" i="2"/>
  <c r="N57" i="2"/>
  <c r="M57" i="2"/>
  <c r="N285" i="2"/>
  <c r="M285" i="2"/>
  <c r="N200" i="2"/>
  <c r="M200" i="2"/>
  <c r="N44" i="2"/>
  <c r="M44" i="2"/>
  <c r="N140" i="2"/>
  <c r="M140" i="2"/>
  <c r="N134" i="2"/>
  <c r="M134" i="2"/>
  <c r="N123" i="2"/>
  <c r="M123" i="2"/>
  <c r="N128" i="2"/>
  <c r="M128" i="2"/>
  <c r="N112" i="2"/>
  <c r="M112" i="2"/>
  <c r="N95" i="2"/>
  <c r="M95" i="2"/>
  <c r="N145" i="2"/>
  <c r="M145" i="2"/>
  <c r="N120" i="2"/>
  <c r="M120" i="2"/>
  <c r="N211" i="2"/>
  <c r="M211" i="2"/>
  <c r="N35" i="2"/>
  <c r="M35" i="2"/>
  <c r="N197" i="2"/>
  <c r="M197" i="2"/>
  <c r="N275" i="2"/>
  <c r="M275" i="2"/>
  <c r="N254" i="2"/>
  <c r="M254" i="2"/>
  <c r="N7" i="2"/>
  <c r="M7" i="2"/>
  <c r="N8" i="2"/>
  <c r="M8" i="2"/>
  <c r="N18" i="2"/>
  <c r="M18" i="2"/>
  <c r="N101" i="2"/>
  <c r="M101" i="2"/>
  <c r="N111" i="2"/>
  <c r="M111" i="2"/>
  <c r="N23" i="2"/>
  <c r="M23" i="2"/>
  <c r="N189" i="2"/>
  <c r="M189" i="2"/>
  <c r="N59" i="2"/>
  <c r="M59" i="2"/>
  <c r="N130" i="2"/>
  <c r="M130" i="2"/>
  <c r="N180" i="2"/>
  <c r="M180" i="2"/>
  <c r="N94" i="2"/>
  <c r="M94" i="2"/>
  <c r="N291" i="2"/>
  <c r="M291" i="2"/>
  <c r="N243" i="2"/>
  <c r="M243" i="2"/>
  <c r="N333" i="2"/>
  <c r="M333" i="2"/>
  <c r="N133" i="2"/>
  <c r="M133" i="2"/>
  <c r="N199" i="2"/>
  <c r="M199" i="2"/>
  <c r="N15" i="2"/>
  <c r="M15" i="2"/>
  <c r="N5" i="2"/>
  <c r="M5" i="2"/>
  <c r="N60" i="2"/>
  <c r="M60" i="2"/>
  <c r="N185" i="2"/>
  <c r="M185" i="2"/>
  <c r="N247" i="2"/>
  <c r="M247" i="2"/>
  <c r="N166" i="2"/>
  <c r="M166" i="2"/>
  <c r="N193" i="2"/>
  <c r="M193" i="2"/>
  <c r="N61" i="2"/>
  <c r="M61" i="2"/>
  <c r="N155" i="2"/>
  <c r="M155" i="2"/>
  <c r="N240" i="2"/>
  <c r="M240" i="2"/>
  <c r="N164" i="2"/>
  <c r="M164" i="2"/>
  <c r="N244" i="2"/>
  <c r="M244" i="2"/>
  <c r="N216" i="2"/>
  <c r="M216" i="2"/>
  <c r="N148" i="2"/>
  <c r="M148" i="2"/>
  <c r="N136" i="2"/>
  <c r="M136" i="2"/>
  <c r="N190" i="2"/>
  <c r="M190" i="2"/>
  <c r="N174" i="2"/>
  <c r="M174" i="2"/>
  <c r="N28" i="2"/>
  <c r="M28" i="2"/>
  <c r="N92" i="2"/>
  <c r="M92" i="2"/>
  <c r="N122" i="2"/>
  <c r="M122" i="2"/>
  <c r="N212" i="2"/>
  <c r="M212" i="2"/>
  <c r="N14" i="2"/>
  <c r="M14" i="2"/>
  <c r="N125" i="2"/>
  <c r="M125" i="2"/>
  <c r="N239" i="2"/>
  <c r="M239" i="2"/>
  <c r="N238" i="2"/>
  <c r="M238" i="2"/>
  <c r="N230" i="2"/>
  <c r="M230" i="2"/>
  <c r="N273" i="2"/>
  <c r="M273" i="2"/>
  <c r="N256" i="2"/>
  <c r="M256" i="2"/>
  <c r="N114" i="2"/>
  <c r="M114" i="2"/>
  <c r="N208" i="2"/>
  <c r="M208" i="2"/>
  <c r="N203" i="2"/>
  <c r="M203" i="2"/>
  <c r="N295" i="2"/>
  <c r="M295" i="2"/>
  <c r="N65" i="2"/>
  <c r="M65" i="2"/>
  <c r="N22" i="2"/>
  <c r="M22" i="2"/>
  <c r="N139" i="2"/>
  <c r="M139" i="2"/>
  <c r="N242" i="2"/>
  <c r="M242" i="2"/>
  <c r="N225" i="2"/>
  <c r="M225" i="2"/>
  <c r="N42" i="2"/>
  <c r="M42" i="2"/>
  <c r="N182" i="2"/>
  <c r="M182" i="2"/>
  <c r="N271" i="2"/>
  <c r="M271" i="2"/>
  <c r="N82" i="2"/>
  <c r="M82" i="2"/>
  <c r="N274" i="2"/>
  <c r="M274" i="2"/>
  <c r="N329" i="2"/>
  <c r="M329" i="2"/>
  <c r="N186" i="2"/>
  <c r="M186" i="2"/>
  <c r="N165" i="2"/>
  <c r="M165" i="2"/>
  <c r="N340" i="2"/>
  <c r="M340" i="2"/>
  <c r="N215" i="2"/>
  <c r="M215" i="2"/>
  <c r="N313" i="2"/>
  <c r="M313" i="2"/>
  <c r="N62" i="2"/>
  <c r="M62" i="2"/>
  <c r="N21" i="2"/>
  <c r="M21" i="2"/>
  <c r="N306" i="2"/>
  <c r="M306" i="2"/>
  <c r="N2" i="2"/>
  <c r="M2" i="2"/>
  <c r="N76" i="2"/>
  <c r="M76" i="2"/>
  <c r="N315" i="2"/>
  <c r="M315" i="2"/>
  <c r="N138" i="2"/>
  <c r="M138" i="2"/>
  <c r="N117" i="2"/>
  <c r="M117" i="2"/>
  <c r="N228" i="2"/>
  <c r="M228" i="2"/>
  <c r="N85" i="2"/>
  <c r="M85" i="2"/>
  <c r="N234" i="2"/>
  <c r="M234" i="2"/>
  <c r="N55" i="2"/>
  <c r="M55" i="2"/>
  <c r="N152" i="2"/>
  <c r="M152" i="2"/>
  <c r="N149" i="2"/>
  <c r="M149" i="2"/>
  <c r="N281" i="2"/>
  <c r="M281" i="2"/>
  <c r="N158" i="2"/>
  <c r="M158" i="2"/>
  <c r="N310" i="2"/>
  <c r="M310" i="2"/>
  <c r="N89" i="2"/>
  <c r="M89" i="2"/>
  <c r="N29" i="2"/>
  <c r="M29" i="2"/>
  <c r="N297" i="2"/>
  <c r="M297" i="2"/>
  <c r="N214" i="2"/>
  <c r="M214" i="2"/>
  <c r="N314" i="2"/>
  <c r="M314" i="2"/>
  <c r="N252" i="2"/>
  <c r="M252" i="2"/>
  <c r="N147" i="2"/>
  <c r="M147" i="2"/>
  <c r="N19" i="2"/>
  <c r="M19" i="2"/>
  <c r="N167" i="2"/>
  <c r="M167" i="2"/>
  <c r="N25" i="2"/>
  <c r="M25" i="2"/>
  <c r="N289" i="2"/>
  <c r="M289" i="2"/>
  <c r="N262" i="2"/>
  <c r="M262" i="2"/>
  <c r="N146" i="2"/>
  <c r="M146" i="2"/>
  <c r="N17" i="2"/>
  <c r="M17" i="2"/>
  <c r="N251" i="2"/>
  <c r="M251" i="2"/>
  <c r="N232" i="2"/>
  <c r="M232" i="2"/>
  <c r="N98" i="2"/>
  <c r="M98" i="2"/>
  <c r="N325" i="2"/>
  <c r="M325" i="2"/>
  <c r="N308" i="2"/>
  <c r="M308" i="2"/>
  <c r="N362" i="2"/>
  <c r="M362" i="2"/>
  <c r="N287" i="2"/>
  <c r="M287" i="2"/>
  <c r="N236" i="2"/>
  <c r="M236" i="2"/>
  <c r="N332" i="2"/>
  <c r="M332" i="2"/>
  <c r="N259" i="2"/>
  <c r="M259" i="2"/>
  <c r="N269" i="2"/>
  <c r="M269" i="2"/>
  <c r="N276" i="2"/>
  <c r="M276" i="2"/>
  <c r="N328" i="2"/>
  <c r="M328" i="2"/>
  <c r="N277" i="2"/>
  <c r="M277" i="2"/>
  <c r="N278" i="2"/>
  <c r="M278" i="2"/>
  <c r="N192" i="2"/>
  <c r="M192" i="2"/>
  <c r="N348" i="2"/>
  <c r="M348" i="2"/>
  <c r="N102" i="2"/>
  <c r="M102" i="2"/>
  <c r="N176" i="2"/>
  <c r="M176" i="2"/>
  <c r="O9" i="4" a="1"/>
  <c r="O9" i="4" s="1"/>
  <c r="O8" i="4" a="1"/>
  <c r="O8" i="4" s="1"/>
  <c r="O7" i="4" a="1"/>
  <c r="O7" i="4" s="1"/>
  <c r="O15" i="4" a="1"/>
  <c r="O15" i="4" s="1"/>
  <c r="O14" i="4" a="1"/>
  <c r="O14" i="4" s="1"/>
  <c r="O6" i="4" a="1"/>
  <c r="O6" i="4" s="1"/>
  <c r="S6" i="4" s="1"/>
  <c r="O13" i="4" a="1"/>
  <c r="O13" i="4" s="1"/>
  <c r="O12" i="4" a="1"/>
  <c r="O12" i="4" s="1"/>
  <c r="O11" i="4" a="1"/>
  <c r="O11" i="4" s="1"/>
  <c r="O10" i="4" a="1"/>
  <c r="O10" i="4" s="1"/>
  <c r="W3" i="2"/>
  <c r="K17" i="6" s="1" a="1"/>
  <c r="K17" i="6" s="1"/>
  <c r="O17" i="6" s="1"/>
  <c r="X11" i="4" a="1"/>
  <c r="X11" i="4" s="1"/>
  <c r="AB11" i="4" s="1"/>
  <c r="X10" i="4" a="1"/>
  <c r="X10" i="4" s="1"/>
  <c r="AB10" i="4" s="1"/>
  <c r="X9" i="4" a="1"/>
  <c r="X9" i="4" s="1"/>
  <c r="AB9" i="4" s="1"/>
  <c r="X6" i="4" a="1"/>
  <c r="X6" i="4" s="1"/>
  <c r="AB6" i="4" s="1"/>
  <c r="X8" i="4" a="1"/>
  <c r="X8" i="4" s="1"/>
  <c r="AB8" i="4" s="1"/>
  <c r="X7" i="4" a="1"/>
  <c r="X7" i="4" s="1"/>
  <c r="AB7" i="4" s="1"/>
  <c r="X15" i="4" a="1"/>
  <c r="X15" i="4" s="1"/>
  <c r="AB15" i="4" s="1"/>
  <c r="X14" i="4" a="1"/>
  <c r="X14" i="4" s="1"/>
  <c r="AB14" i="4" s="1"/>
  <c r="X13" i="4" a="1"/>
  <c r="X13" i="4" s="1"/>
  <c r="AB13" i="4" s="1"/>
  <c r="X12" i="4" a="1"/>
  <c r="X12" i="4" s="1"/>
  <c r="AB12" i="4" s="1"/>
  <c r="N312" i="2"/>
  <c r="M312" i="2"/>
  <c r="N309" i="2"/>
  <c r="M309" i="2"/>
  <c r="N283" i="2"/>
  <c r="M283" i="2"/>
  <c r="N337" i="2"/>
  <c r="M337" i="2"/>
  <c r="N159" i="2"/>
  <c r="M159" i="2"/>
  <c r="N209" i="2"/>
  <c r="M209" i="2"/>
  <c r="N188" i="2"/>
  <c r="M188" i="2"/>
  <c r="N253" i="2"/>
  <c r="M253" i="2"/>
  <c r="N303" i="2"/>
  <c r="M303" i="2"/>
  <c r="N317" i="2"/>
  <c r="M317" i="2"/>
  <c r="N270" i="2"/>
  <c r="M270" i="2"/>
  <c r="N195" i="2"/>
  <c r="M195" i="2"/>
  <c r="N341" i="2"/>
  <c r="M341" i="2"/>
  <c r="N219" i="2"/>
  <c r="M219" i="2"/>
  <c r="J9" i="4"/>
  <c r="J15" i="4"/>
  <c r="J14" i="4"/>
  <c r="J13" i="4"/>
  <c r="J8" i="4"/>
  <c r="J7" i="4"/>
  <c r="J12" i="4"/>
  <c r="J11" i="4"/>
  <c r="J10" i="4"/>
  <c r="L7" i="4"/>
  <c r="K7" i="4"/>
  <c r="F6" i="4"/>
  <c r="L6" i="4"/>
  <c r="K6" i="4"/>
  <c r="L8" i="4"/>
  <c r="K8" i="4"/>
  <c r="K11" i="4"/>
  <c r="L11" i="4"/>
  <c r="K10" i="4"/>
  <c r="L10" i="4"/>
  <c r="L15" i="4"/>
  <c r="K15" i="4"/>
  <c r="L9" i="4"/>
  <c r="K9" i="4"/>
  <c r="L14" i="4"/>
  <c r="K14" i="4"/>
  <c r="L13" i="4"/>
  <c r="K13" i="4"/>
  <c r="L12" i="4"/>
  <c r="K12" i="4"/>
  <c r="N257" i="2"/>
  <c r="M257" i="2"/>
  <c r="N294" i="2"/>
  <c r="M294" i="2"/>
  <c r="N319" i="2"/>
  <c r="M319" i="2"/>
  <c r="N318" i="2"/>
  <c r="M318" i="2"/>
  <c r="N248" i="2"/>
  <c r="M248" i="2"/>
  <c r="N97" i="2"/>
  <c r="M97" i="2"/>
  <c r="N80" i="2"/>
  <c r="M80" i="2"/>
  <c r="N20" i="2"/>
  <c r="M20" i="2"/>
  <c r="N70" i="2"/>
  <c r="M70" i="2"/>
  <c r="N326" i="2"/>
  <c r="M326" i="2"/>
  <c r="N132" i="2"/>
  <c r="M132" i="2"/>
  <c r="N284" i="2"/>
  <c r="M284" i="2"/>
  <c r="N302" i="2"/>
  <c r="M302" i="2"/>
  <c r="N354" i="2"/>
  <c r="M354" i="2"/>
  <c r="N323" i="2"/>
  <c r="M323" i="2"/>
  <c r="N249" i="2"/>
  <c r="M249" i="2"/>
  <c r="N339" i="2"/>
  <c r="M339" i="2"/>
  <c r="N24" i="2"/>
  <c r="M24" i="2"/>
  <c r="N183" i="2"/>
  <c r="M183" i="2"/>
  <c r="N263" i="2"/>
  <c r="M263" i="2"/>
  <c r="N343" i="2"/>
  <c r="M343" i="2"/>
  <c r="N260" i="2"/>
  <c r="M260" i="2"/>
  <c r="N258" i="2"/>
  <c r="M258" i="2"/>
  <c r="N335" i="2"/>
  <c r="M335" i="2"/>
  <c r="N172" i="2"/>
  <c r="M172" i="2"/>
  <c r="N292" i="2"/>
  <c r="M292" i="2"/>
  <c r="N204" i="2"/>
  <c r="M204" i="2"/>
  <c r="N131" i="2"/>
  <c r="M131" i="2"/>
  <c r="N181" i="2"/>
  <c r="M181" i="2"/>
  <c r="N32" i="2"/>
  <c r="M32" i="2"/>
  <c r="N227" i="2"/>
  <c r="M227" i="2"/>
  <c r="N229" i="2"/>
  <c r="M229" i="2"/>
  <c r="N213" i="2"/>
  <c r="M213" i="2"/>
  <c r="N124" i="2"/>
  <c r="M124" i="2"/>
  <c r="K6" i="6" a="1"/>
  <c r="K6" i="6" s="1"/>
  <c r="B7" i="6" a="1"/>
  <c r="B7" i="6" s="1"/>
  <c r="B3" i="6" a="1"/>
  <c r="B3" i="6" s="1"/>
  <c r="K7" i="6" a="1"/>
  <c r="K7" i="6" s="1"/>
  <c r="O7" i="6" s="1"/>
  <c r="B12" i="6" a="1"/>
  <c r="B12" i="6" s="1"/>
  <c r="G7" i="4"/>
  <c r="F7" i="4"/>
  <c r="E7" i="4"/>
  <c r="D7" i="4"/>
  <c r="B28" i="4" a="1"/>
  <c r="B28" i="4" s="1"/>
  <c r="B26" i="4" a="1"/>
  <c r="B26" i="4" s="1"/>
  <c r="B24" i="4" a="1"/>
  <c r="B24" i="4" s="1"/>
  <c r="B27" i="4" a="1"/>
  <c r="B27" i="4" s="1"/>
  <c r="B25" i="4" a="1"/>
  <c r="B25" i="4" s="1"/>
  <c r="B23" i="4" a="1"/>
  <c r="B23" i="4" s="1"/>
  <c r="B22" i="4" a="1"/>
  <c r="B22" i="4" s="1"/>
  <c r="N3" i="2"/>
  <c r="B21" i="4" a="1"/>
  <c r="B21" i="4" s="1"/>
  <c r="B20" i="4" a="1"/>
  <c r="B20" i="4" s="1"/>
  <c r="J20" i="4" s="1"/>
  <c r="B19" i="4" a="1"/>
  <c r="B19" i="4" s="1"/>
  <c r="J19" i="4" s="1"/>
  <c r="K5" i="6" a="1"/>
  <c r="K5" i="6" s="1"/>
  <c r="O5" i="6" s="1"/>
  <c r="K3" i="6" a="1"/>
  <c r="K3" i="6" s="1"/>
  <c r="O3" i="6" s="1"/>
  <c r="B8" i="6" a="1"/>
  <c r="B8" i="6" s="1"/>
  <c r="K10" i="6" a="1"/>
  <c r="K10" i="6" s="1"/>
  <c r="O10" i="6" s="1"/>
  <c r="K12" i="6" a="1"/>
  <c r="K12" i="6" s="1"/>
  <c r="O12" i="6" s="1"/>
  <c r="B5" i="6" a="1"/>
  <c r="B5" i="6" s="1"/>
  <c r="B4" i="6" a="1"/>
  <c r="B4" i="6" s="1"/>
  <c r="K9" i="6" a="1"/>
  <c r="K9" i="6" s="1"/>
  <c r="O9" i="6" s="1"/>
  <c r="K8" i="6" a="1"/>
  <c r="K8" i="6" s="1"/>
  <c r="O8" i="6" s="1"/>
  <c r="G6" i="4"/>
  <c r="H6" i="4"/>
  <c r="E6" i="4"/>
  <c r="D6" i="4"/>
  <c r="K4" i="6" a="1"/>
  <c r="K4" i="6" s="1"/>
  <c r="O4" i="6" s="1"/>
  <c r="B10" i="6" a="1"/>
  <c r="B10" i="6" s="1"/>
  <c r="B11" i="6" a="1"/>
  <c r="B11" i="6" s="1"/>
  <c r="B6" i="6" a="1"/>
  <c r="B6" i="6" s="1"/>
  <c r="B21" i="6" a="1"/>
  <c r="B21" i="6" s="1"/>
  <c r="B25" i="6" a="1"/>
  <c r="B25" i="6" s="1"/>
  <c r="B20" i="6" a="1"/>
  <c r="B20" i="6" s="1"/>
  <c r="B16" i="6" a="1"/>
  <c r="B16" i="6" s="1"/>
  <c r="B18" i="6" a="1"/>
  <c r="B18" i="6" s="1"/>
  <c r="B19" i="6" a="1"/>
  <c r="B19" i="6" s="1"/>
  <c r="B22" i="6" a="1"/>
  <c r="B22" i="6" s="1"/>
  <c r="B17" i="6" a="1"/>
  <c r="B17" i="6" s="1"/>
  <c r="B23" i="6" a="1"/>
  <c r="B23" i="6" s="1"/>
  <c r="B24" i="6" a="1"/>
  <c r="B24" i="6" s="1"/>
  <c r="K11" i="6" a="1"/>
  <c r="K11" i="6" s="1"/>
  <c r="O11" i="6" s="1"/>
  <c r="B9" i="6" a="1"/>
  <c r="B9" i="6" s="1"/>
  <c r="G12" i="4"/>
  <c r="F12" i="4"/>
  <c r="E12" i="4"/>
  <c r="D12" i="4"/>
  <c r="G11" i="4"/>
  <c r="F11" i="4"/>
  <c r="E11" i="4"/>
  <c r="D11" i="4"/>
  <c r="G10" i="4"/>
  <c r="E10" i="4"/>
  <c r="F10" i="4"/>
  <c r="D10" i="4"/>
  <c r="G9" i="4"/>
  <c r="F9" i="4"/>
  <c r="E9" i="4"/>
  <c r="D9" i="4"/>
  <c r="G8" i="4"/>
  <c r="F8" i="4"/>
  <c r="E8" i="4"/>
  <c r="D8" i="4"/>
  <c r="G15" i="4"/>
  <c r="F15" i="4"/>
  <c r="E15" i="4"/>
  <c r="D15" i="4"/>
  <c r="G14" i="4"/>
  <c r="F14" i="4"/>
  <c r="E14" i="4"/>
  <c r="D14" i="4"/>
  <c r="E13" i="4"/>
  <c r="G13" i="4"/>
  <c r="F13" i="4"/>
  <c r="D13" i="4"/>
  <c r="I6" i="4"/>
  <c r="I7" i="4"/>
  <c r="I13" i="4"/>
  <c r="I12" i="4"/>
  <c r="I11" i="4"/>
  <c r="I9" i="4"/>
  <c r="I15" i="4"/>
  <c r="I10" i="4"/>
  <c r="I8" i="4"/>
  <c r="I14" i="4"/>
  <c r="H7" i="4"/>
  <c r="C7" i="4"/>
  <c r="H15" i="4"/>
  <c r="C15" i="4"/>
  <c r="H13" i="4"/>
  <c r="C13" i="4"/>
  <c r="H12" i="4"/>
  <c r="C12" i="4"/>
  <c r="H11" i="4"/>
  <c r="C11" i="4"/>
  <c r="C10" i="4"/>
  <c r="H10" i="4"/>
  <c r="H14" i="4"/>
  <c r="C14" i="4"/>
  <c r="C8" i="4"/>
  <c r="H8" i="4"/>
  <c r="C9" i="4"/>
  <c r="H9" i="4"/>
  <c r="C6" i="4"/>
  <c r="K19" i="6" l="1" a="1"/>
  <c r="K19" i="6" s="1"/>
  <c r="O19" i="6" s="1"/>
  <c r="K22" i="6" a="1"/>
  <c r="K22" i="6" s="1"/>
  <c r="O22" i="6" s="1"/>
  <c r="K18" i="6" a="1"/>
  <c r="K18" i="6" s="1"/>
  <c r="O18" i="6" s="1"/>
  <c r="K20" i="6" a="1"/>
  <c r="K20" i="6" s="1"/>
  <c r="O20" i="6" s="1"/>
  <c r="K21" i="6" a="1"/>
  <c r="K21" i="6" s="1"/>
  <c r="O21" i="6" s="1"/>
  <c r="K25" i="6" a="1"/>
  <c r="K25" i="6" s="1"/>
  <c r="O25" i="6" s="1"/>
  <c r="K24" i="6" a="1"/>
  <c r="K24" i="6" s="1"/>
  <c r="O24" i="6" s="1"/>
  <c r="K16" i="6" a="1"/>
  <c r="K16" i="6" s="1"/>
  <c r="O16" i="6" s="1"/>
  <c r="K23" i="6" a="1"/>
  <c r="K23" i="6" s="1"/>
  <c r="O23" i="6" s="1"/>
  <c r="O27" i="4" a="1"/>
  <c r="O27" i="4" s="1"/>
  <c r="S27" i="4" s="1"/>
  <c r="O23" i="4" a="1"/>
  <c r="O23" i="4" s="1"/>
  <c r="S23" i="4" s="1"/>
  <c r="O24" i="4" a="1"/>
  <c r="O24" i="4" s="1"/>
  <c r="S24" i="4" s="1"/>
  <c r="O19" i="4" a="1"/>
  <c r="O19" i="4" s="1"/>
  <c r="S19" i="4" s="1"/>
  <c r="O21" i="4" a="1"/>
  <c r="O21" i="4" s="1"/>
  <c r="S21" i="4" s="1"/>
  <c r="X28" i="4" a="1"/>
  <c r="X28" i="4" s="1"/>
  <c r="AB28" i="4" s="1"/>
  <c r="X27" i="4" a="1"/>
  <c r="X27" i="4" s="1"/>
  <c r="AB27" i="4" s="1"/>
  <c r="X26" i="4" a="1"/>
  <c r="X26" i="4" s="1"/>
  <c r="AB26" i="4" s="1"/>
  <c r="X25" i="4" a="1"/>
  <c r="X25" i="4" s="1"/>
  <c r="AB25" i="4" s="1"/>
  <c r="X24" i="4" a="1"/>
  <c r="X24" i="4" s="1"/>
  <c r="AB24" i="4" s="1"/>
  <c r="X23" i="4" a="1"/>
  <c r="X23" i="4" s="1"/>
  <c r="AB23" i="4" s="1"/>
  <c r="X22" i="4" a="1"/>
  <c r="X22" i="4" s="1"/>
  <c r="AB22" i="4" s="1"/>
  <c r="X21" i="4" a="1"/>
  <c r="X21" i="4" s="1"/>
  <c r="AB21" i="4" s="1"/>
  <c r="X20" i="4" a="1"/>
  <c r="X20" i="4" s="1"/>
  <c r="AB20" i="4" s="1"/>
  <c r="X19" i="4" a="1"/>
  <c r="X19" i="4" s="1"/>
  <c r="AB19" i="4" s="1"/>
  <c r="O28" i="4" a="1"/>
  <c r="O28" i="4" s="1"/>
  <c r="S28" i="4" s="1"/>
  <c r="O20" i="4" a="1"/>
  <c r="O20" i="4" s="1"/>
  <c r="S20" i="4" s="1"/>
  <c r="O22" i="4" a="1"/>
  <c r="O22" i="4" s="1"/>
  <c r="S22" i="4" s="1"/>
  <c r="O25" i="4" a="1"/>
  <c r="O25" i="4" s="1"/>
  <c r="S25" i="4" s="1"/>
  <c r="O26" i="4" a="1"/>
  <c r="O26" i="4" s="1"/>
  <c r="S26" i="4" s="1"/>
  <c r="B38" i="6" a="1"/>
  <c r="B38" i="6" s="1"/>
  <c r="E38" i="6" s="1"/>
  <c r="B32" i="6" a="1"/>
  <c r="B32" i="6" s="1"/>
  <c r="C32" i="6" s="1"/>
  <c r="B37" i="6" a="1"/>
  <c r="B37" i="6" s="1"/>
  <c r="B35" i="6" a="1"/>
  <c r="B35" i="6" s="1"/>
  <c r="B33" i="6" a="1"/>
  <c r="B33" i="6" s="1"/>
  <c r="B34" i="6" a="1"/>
  <c r="B34" i="6" s="1"/>
  <c r="B31" i="6" a="1"/>
  <c r="B31" i="6" s="1"/>
  <c r="B30" i="6" a="1"/>
  <c r="B30" i="6" s="1"/>
  <c r="B29" i="6" a="1"/>
  <c r="B29" i="6" s="1"/>
  <c r="B36" i="6" a="1"/>
  <c r="B36" i="6" s="1"/>
  <c r="L6" i="6"/>
  <c r="O6" i="6"/>
  <c r="F3" i="6"/>
  <c r="F7" i="6"/>
  <c r="F8" i="6"/>
  <c r="F9" i="6"/>
  <c r="F6" i="6"/>
  <c r="F4" i="6"/>
  <c r="F12" i="6"/>
  <c r="F11" i="6"/>
  <c r="F5" i="6"/>
  <c r="F10" i="6"/>
  <c r="H19" i="6"/>
  <c r="G19" i="6"/>
  <c r="F19" i="6"/>
  <c r="G18" i="6"/>
  <c r="F18" i="6"/>
  <c r="H18" i="6"/>
  <c r="F16" i="6"/>
  <c r="H16" i="6"/>
  <c r="G16" i="6"/>
  <c r="H22" i="6"/>
  <c r="G22" i="6"/>
  <c r="F22" i="6"/>
  <c r="F25" i="6"/>
  <c r="H25" i="6"/>
  <c r="G25" i="6"/>
  <c r="G24" i="6"/>
  <c r="F24" i="6"/>
  <c r="H24" i="6"/>
  <c r="H20" i="6"/>
  <c r="G20" i="6"/>
  <c r="F20" i="6"/>
  <c r="H21" i="6"/>
  <c r="G21" i="6"/>
  <c r="F21" i="6"/>
  <c r="H23" i="6"/>
  <c r="G23" i="6"/>
  <c r="F23" i="6"/>
  <c r="H17" i="6"/>
  <c r="F17" i="6"/>
  <c r="G17" i="6"/>
  <c r="G4" i="6"/>
  <c r="H4" i="6"/>
  <c r="G3" i="6"/>
  <c r="H3" i="6"/>
  <c r="H9" i="6"/>
  <c r="G9" i="6"/>
  <c r="H11" i="6"/>
  <c r="G11" i="6"/>
  <c r="H5" i="6"/>
  <c r="G5" i="6"/>
  <c r="H8" i="6"/>
  <c r="G8" i="6"/>
  <c r="G12" i="6"/>
  <c r="H12" i="6"/>
  <c r="H10" i="6"/>
  <c r="G10" i="6"/>
  <c r="E7" i="6"/>
  <c r="H7" i="6"/>
  <c r="G7" i="6"/>
  <c r="H6" i="6"/>
  <c r="G6" i="6"/>
  <c r="S12" i="4"/>
  <c r="S14" i="4"/>
  <c r="S8" i="4"/>
  <c r="S13" i="4"/>
  <c r="S15" i="4"/>
  <c r="S11" i="4"/>
  <c r="S9" i="4"/>
  <c r="S7" i="4"/>
  <c r="S10" i="4"/>
  <c r="J23" i="4"/>
  <c r="J21" i="4"/>
  <c r="J27" i="4"/>
  <c r="J25" i="4"/>
  <c r="J24" i="4"/>
  <c r="J28" i="4"/>
  <c r="J26" i="4"/>
  <c r="J22" i="4"/>
  <c r="H20" i="4"/>
  <c r="L20" i="4"/>
  <c r="K20" i="4"/>
  <c r="L19" i="4"/>
  <c r="K19" i="4"/>
  <c r="U7" i="4"/>
  <c r="T7" i="4"/>
  <c r="R6" i="4"/>
  <c r="U6" i="4"/>
  <c r="T6" i="4"/>
  <c r="R13" i="4"/>
  <c r="U13" i="4"/>
  <c r="T13" i="4"/>
  <c r="L24" i="4"/>
  <c r="K24" i="4"/>
  <c r="U10" i="4"/>
  <c r="T10" i="4"/>
  <c r="L28" i="4"/>
  <c r="K28" i="4"/>
  <c r="Q14" i="4"/>
  <c r="U14" i="4"/>
  <c r="T14" i="4"/>
  <c r="R8" i="4"/>
  <c r="U8" i="4"/>
  <c r="T8" i="4"/>
  <c r="H22" i="4"/>
  <c r="L22" i="4"/>
  <c r="K22" i="4"/>
  <c r="R12" i="4"/>
  <c r="U12" i="4"/>
  <c r="T12" i="4"/>
  <c r="U15" i="4"/>
  <c r="T15" i="4"/>
  <c r="H26" i="4"/>
  <c r="L26" i="4"/>
  <c r="K26" i="4"/>
  <c r="U11" i="4"/>
  <c r="T11" i="4"/>
  <c r="U9" i="4"/>
  <c r="T9" i="4"/>
  <c r="L27" i="4"/>
  <c r="K27" i="4"/>
  <c r="I21" i="4"/>
  <c r="L21" i="4"/>
  <c r="K21" i="4"/>
  <c r="I23" i="4"/>
  <c r="L23" i="4"/>
  <c r="K23" i="4"/>
  <c r="K25" i="4"/>
  <c r="L25" i="4"/>
  <c r="P14" i="4"/>
  <c r="R14" i="4"/>
  <c r="Q12" i="4"/>
  <c r="P12" i="4"/>
  <c r="Q9" i="4"/>
  <c r="P9" i="4"/>
  <c r="R9" i="4"/>
  <c r="Q10" i="4"/>
  <c r="Q15" i="4"/>
  <c r="P6" i="4"/>
  <c r="P8" i="4"/>
  <c r="P10" i="4"/>
  <c r="R10" i="4"/>
  <c r="Q8" i="4"/>
  <c r="Q6" i="4"/>
  <c r="R15" i="4"/>
  <c r="P15" i="4"/>
  <c r="C24" i="4"/>
  <c r="H24" i="4"/>
  <c r="I24" i="4"/>
  <c r="P7" i="4"/>
  <c r="Q11" i="4"/>
  <c r="Q7" i="4"/>
  <c r="R11" i="4"/>
  <c r="R7" i="4"/>
  <c r="P11" i="4"/>
  <c r="P13" i="4"/>
  <c r="H21" i="4"/>
  <c r="Q13" i="4"/>
  <c r="I20" i="4"/>
  <c r="I19" i="4"/>
  <c r="C20" i="4"/>
  <c r="C19" i="4"/>
  <c r="H19" i="4"/>
  <c r="C21" i="4"/>
  <c r="C23" i="4"/>
  <c r="I25" i="4"/>
  <c r="H25" i="4"/>
  <c r="H23" i="4"/>
  <c r="C27" i="4"/>
  <c r="H27" i="4"/>
  <c r="D7" i="6"/>
  <c r="I27" i="4"/>
  <c r="C28" i="4"/>
  <c r="C7" i="6"/>
  <c r="I26" i="4"/>
  <c r="C26" i="4"/>
  <c r="C25" i="4"/>
  <c r="H28" i="4"/>
  <c r="I28" i="4"/>
  <c r="M6" i="6"/>
  <c r="N6" i="6"/>
  <c r="E10" i="6"/>
  <c r="D10" i="6"/>
  <c r="C10" i="6"/>
  <c r="Z8" i="4"/>
  <c r="Y8" i="4"/>
  <c r="AA8" i="4"/>
  <c r="M5" i="6"/>
  <c r="L5" i="6"/>
  <c r="N5" i="6"/>
  <c r="G20" i="4"/>
  <c r="F20" i="4"/>
  <c r="E20" i="4"/>
  <c r="D20" i="4"/>
  <c r="E24" i="6"/>
  <c r="D24" i="6"/>
  <c r="C24" i="6"/>
  <c r="AA7" i="4"/>
  <c r="Z7" i="4"/>
  <c r="Y7" i="4"/>
  <c r="C23" i="6"/>
  <c r="D23" i="6"/>
  <c r="E23" i="6"/>
  <c r="N9" i="6"/>
  <c r="M9" i="6"/>
  <c r="L9" i="6"/>
  <c r="G21" i="4"/>
  <c r="F21" i="4"/>
  <c r="E21" i="4"/>
  <c r="D21" i="4"/>
  <c r="L7" i="6"/>
  <c r="N7" i="6"/>
  <c r="M7" i="6"/>
  <c r="AA15" i="4"/>
  <c r="Z15" i="4"/>
  <c r="Y15" i="4"/>
  <c r="D19" i="6"/>
  <c r="E19" i="6"/>
  <c r="C19" i="6"/>
  <c r="G23" i="4"/>
  <c r="F23" i="4"/>
  <c r="E23" i="4"/>
  <c r="D23" i="4"/>
  <c r="N17" i="6"/>
  <c r="L17" i="6"/>
  <c r="M17" i="6"/>
  <c r="E22" i="4"/>
  <c r="D22" i="4"/>
  <c r="G22" i="4"/>
  <c r="F22" i="4"/>
  <c r="C18" i="6"/>
  <c r="D18" i="6"/>
  <c r="E18" i="6"/>
  <c r="G25" i="4"/>
  <c r="F25" i="4"/>
  <c r="E25" i="4"/>
  <c r="D25" i="4"/>
  <c r="C17" i="6"/>
  <c r="E17" i="6"/>
  <c r="D17" i="6"/>
  <c r="E22" i="6"/>
  <c r="D22" i="6"/>
  <c r="C22" i="6"/>
  <c r="E3" i="6"/>
  <c r="D3" i="6"/>
  <c r="C3" i="6"/>
  <c r="I22" i="4"/>
  <c r="AA9" i="4"/>
  <c r="Y9" i="4"/>
  <c r="Z9" i="4"/>
  <c r="E16" i="6"/>
  <c r="D16" i="6"/>
  <c r="C16" i="6"/>
  <c r="G27" i="4"/>
  <c r="F27" i="4"/>
  <c r="E27" i="4"/>
  <c r="D27" i="4"/>
  <c r="Z12" i="4"/>
  <c r="Y12" i="4"/>
  <c r="AA12" i="4"/>
  <c r="D12" i="6"/>
  <c r="C12" i="6"/>
  <c r="E12" i="6"/>
  <c r="C22" i="4"/>
  <c r="E9" i="6"/>
  <c r="D9" i="6"/>
  <c r="C9" i="6"/>
  <c r="D20" i="6"/>
  <c r="E20" i="6"/>
  <c r="C20" i="6"/>
  <c r="E4" i="6"/>
  <c r="D4" i="6"/>
  <c r="C4" i="6"/>
  <c r="G24" i="4"/>
  <c r="F24" i="4"/>
  <c r="E24" i="4"/>
  <c r="D24" i="4"/>
  <c r="Y13" i="4"/>
  <c r="Z13" i="4"/>
  <c r="AA13" i="4"/>
  <c r="D25" i="6"/>
  <c r="C25" i="6"/>
  <c r="E25" i="6"/>
  <c r="E5" i="6"/>
  <c r="D5" i="6"/>
  <c r="C5" i="6"/>
  <c r="G26" i="4"/>
  <c r="F26" i="4"/>
  <c r="E26" i="4"/>
  <c r="D26" i="4"/>
  <c r="E21" i="6"/>
  <c r="D21" i="6"/>
  <c r="C21" i="6"/>
  <c r="L12" i="6"/>
  <c r="M12" i="6"/>
  <c r="N12" i="6"/>
  <c r="G28" i="4"/>
  <c r="F28" i="4"/>
  <c r="E28" i="4"/>
  <c r="D28" i="4"/>
  <c r="AA14" i="4"/>
  <c r="Z14" i="4"/>
  <c r="Y14" i="4"/>
  <c r="AA11" i="4"/>
  <c r="Z11" i="4"/>
  <c r="Y11" i="4"/>
  <c r="AA10" i="4"/>
  <c r="Y10" i="4"/>
  <c r="Z10" i="4"/>
  <c r="E6" i="6"/>
  <c r="C6" i="6"/>
  <c r="D6" i="6"/>
  <c r="AA6" i="4"/>
  <c r="Y6" i="4"/>
  <c r="Z6" i="4"/>
  <c r="E8" i="6"/>
  <c r="D8" i="6"/>
  <c r="C8" i="6"/>
  <c r="L11" i="6"/>
  <c r="N11" i="6"/>
  <c r="M11" i="6"/>
  <c r="D11" i="6"/>
  <c r="C11" i="6"/>
  <c r="E11" i="6"/>
  <c r="L4" i="6"/>
  <c r="N4" i="6"/>
  <c r="M4" i="6"/>
  <c r="N8" i="6"/>
  <c r="M8" i="6"/>
  <c r="L8" i="6"/>
  <c r="N10" i="6"/>
  <c r="M10" i="6"/>
  <c r="L10" i="6"/>
  <c r="L3" i="6"/>
  <c r="M3" i="6"/>
  <c r="N3" i="6"/>
  <c r="G19" i="4"/>
  <c r="F19" i="4"/>
  <c r="E19" i="4"/>
  <c r="D19" i="4"/>
  <c r="M19" i="6" l="1"/>
  <c r="N22" i="6"/>
  <c r="M18" i="6"/>
  <c r="N18" i="6"/>
  <c r="L18" i="6"/>
  <c r="M20" i="6"/>
  <c r="N19" i="6"/>
  <c r="L19" i="6"/>
  <c r="N25" i="6"/>
  <c r="L22" i="6"/>
  <c r="M22" i="6"/>
  <c r="L20" i="6"/>
  <c r="L21" i="6"/>
  <c r="M21" i="6"/>
  <c r="N21" i="6"/>
  <c r="N20" i="6"/>
  <c r="L24" i="6"/>
  <c r="M24" i="6"/>
  <c r="N24" i="6"/>
  <c r="M16" i="6"/>
  <c r="L25" i="6"/>
  <c r="M25" i="6"/>
  <c r="N16" i="6"/>
  <c r="L23" i="6"/>
  <c r="M23" i="6"/>
  <c r="N23" i="6"/>
  <c r="L16" i="6"/>
  <c r="D38" i="6"/>
  <c r="E32" i="6"/>
  <c r="F32" i="6"/>
  <c r="G32" i="6"/>
  <c r="D32" i="6"/>
  <c r="H32" i="6"/>
  <c r="C38" i="6"/>
  <c r="G38" i="6"/>
  <c r="H38" i="6"/>
  <c r="F38" i="6"/>
  <c r="F31" i="6"/>
  <c r="E31" i="6"/>
  <c r="D31" i="6"/>
  <c r="C31" i="6"/>
  <c r="H31" i="6"/>
  <c r="G31" i="6"/>
  <c r="D33" i="6"/>
  <c r="C33" i="6"/>
  <c r="H33" i="6"/>
  <c r="G33" i="6"/>
  <c r="F33" i="6"/>
  <c r="E33" i="6"/>
  <c r="D35" i="6"/>
  <c r="C35" i="6"/>
  <c r="H35" i="6"/>
  <c r="E35" i="6"/>
  <c r="G35" i="6"/>
  <c r="F35" i="6"/>
  <c r="H36" i="6"/>
  <c r="D36" i="6"/>
  <c r="G36" i="6"/>
  <c r="F36" i="6"/>
  <c r="E36" i="6"/>
  <c r="C36" i="6"/>
  <c r="C29" i="6"/>
  <c r="E29" i="6"/>
  <c r="F29" i="6"/>
  <c r="H29" i="6"/>
  <c r="G29" i="6"/>
  <c r="D29" i="6"/>
  <c r="E30" i="6"/>
  <c r="H30" i="6"/>
  <c r="D30" i="6"/>
  <c r="C30" i="6"/>
  <c r="G30" i="6"/>
  <c r="F30" i="6"/>
  <c r="D34" i="6"/>
  <c r="G34" i="6"/>
  <c r="E34" i="6"/>
  <c r="C34" i="6"/>
  <c r="H34" i="6"/>
  <c r="F34" i="6"/>
  <c r="D37" i="6"/>
  <c r="F37" i="6"/>
  <c r="E37" i="6"/>
  <c r="G37" i="6"/>
  <c r="H37" i="6"/>
  <c r="C37" i="6"/>
  <c r="U25" i="4"/>
  <c r="T25" i="4"/>
  <c r="R22" i="4"/>
  <c r="U22" i="4"/>
  <c r="T22" i="4"/>
  <c r="U21" i="4"/>
  <c r="T21" i="4"/>
  <c r="Q20" i="4"/>
  <c r="U20" i="4"/>
  <c r="T20" i="4"/>
  <c r="R19" i="4"/>
  <c r="U19" i="4"/>
  <c r="T19" i="4"/>
  <c r="P24" i="4"/>
  <c r="U24" i="4"/>
  <c r="T24" i="4"/>
  <c r="U23" i="4"/>
  <c r="T23" i="4"/>
  <c r="Q27" i="4"/>
  <c r="U27" i="4"/>
  <c r="T27" i="4"/>
  <c r="R28" i="4"/>
  <c r="U28" i="4"/>
  <c r="T28" i="4"/>
  <c r="U26" i="4"/>
  <c r="T26" i="4"/>
  <c r="R20" i="4"/>
  <c r="P20" i="4"/>
  <c r="P19" i="4"/>
  <c r="Q19" i="4"/>
  <c r="P23" i="4"/>
  <c r="P21" i="4"/>
  <c r="Q21" i="4"/>
  <c r="R21" i="4"/>
  <c r="Q24" i="4"/>
  <c r="R24" i="4"/>
  <c r="P22" i="4"/>
  <c r="Q22" i="4"/>
  <c r="R23" i="4"/>
  <c r="P26" i="4"/>
  <c r="R26" i="4"/>
  <c r="Q23" i="4"/>
  <c r="Q26" i="4"/>
  <c r="Q28" i="4"/>
  <c r="P28" i="4"/>
  <c r="P25" i="4"/>
  <c r="R25" i="4"/>
  <c r="Q25" i="4"/>
  <c r="R27" i="4"/>
  <c r="P27" i="4"/>
  <c r="AA20" i="4"/>
  <c r="Z20" i="4"/>
  <c r="Y20" i="4"/>
  <c r="AA21" i="4"/>
  <c r="Z21" i="4"/>
  <c r="Y21" i="4"/>
  <c r="Z22" i="4"/>
  <c r="Y22" i="4"/>
  <c r="AA22" i="4"/>
  <c r="Z23" i="4"/>
  <c r="AA23" i="4"/>
  <c r="Y23" i="4"/>
  <c r="Z19" i="4"/>
  <c r="AA19" i="4"/>
  <c r="Y19" i="4"/>
  <c r="Y24" i="4"/>
  <c r="AA24" i="4"/>
  <c r="Z24" i="4"/>
  <c r="AA25" i="4"/>
  <c r="Z25" i="4"/>
  <c r="Y25" i="4"/>
  <c r="Z26" i="4"/>
  <c r="Y26" i="4"/>
  <c r="AA26" i="4"/>
  <c r="AA27" i="4"/>
  <c r="Z27" i="4"/>
  <c r="Y27" i="4"/>
  <c r="AA28" i="4"/>
  <c r="Z28" i="4"/>
  <c r="Y2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<sst xmlns="http://schemas.openxmlformats.org/spreadsheetml/2006/main" count="3869" uniqueCount="2056">
  <si>
    <t>A Golden Empire</t>
  </si>
  <si>
    <t>Enact a Golden Age as an Empire.</t>
  </si>
  <si>
    <t>VE</t>
  </si>
  <si>
    <t>A Protected Market</t>
  </si>
  <si>
    <t>Have 100% Mercantilism.</t>
  </si>
  <si>
    <t>AAA Credit</t>
  </si>
  <si>
    <t>As a Great Power, take on over 1,000 ducats of another nation’s debt.</t>
  </si>
  <si>
    <t>All That's Thine Shall Be Mine</t>
  </si>
  <si>
    <t>As a Greedy ruler, take all of a nation’s ducats in a peace deal.</t>
  </si>
  <si>
    <t>Cold War</t>
  </si>
  <si>
    <t>Win a war without fighting a single battle.</t>
  </si>
  <si>
    <t>Combined Arms</t>
  </si>
  <si>
    <t>Have both an Admiral and a General with a trait.</t>
  </si>
  <si>
    <t>Cowardly Tactics</t>
  </si>
  <si>
    <t>Defender of the Faith</t>
  </si>
  <si>
    <t>Become Defender of the Faith.</t>
  </si>
  <si>
    <t>Double the Love</t>
  </si>
  <si>
    <t>Start with no unions and get two at the same time.</t>
  </si>
  <si>
    <t>Factionalism</t>
  </si>
  <si>
    <t>Have 3 different estates in your country with at least 70% influence each.</t>
  </si>
  <si>
    <t>For the Glory</t>
  </si>
  <si>
    <t>Diplo-annex a vassal.</t>
  </si>
  <si>
    <t>Foul Mouthed</t>
  </si>
  <si>
    <t>Scornfully insult 10 nations that border you.</t>
  </si>
  <si>
    <t>From Humble Origins</t>
  </si>
  <si>
    <t>Full House</t>
  </si>
  <si>
    <t>Have 3 Vassals and 2 Marches at the same time.</t>
  </si>
  <si>
    <t>Gentle Persuasion</t>
  </si>
  <si>
    <t>Have a Siege Specialist general win a siege in a province with a fort.</t>
  </si>
  <si>
    <t>Imposter Syndrome</t>
  </si>
  <si>
    <t>Isn't this the way to India?</t>
  </si>
  <si>
    <t>Discover the Americas as Castile or Spain.</t>
  </si>
  <si>
    <t>It's all about the money</t>
  </si>
  <si>
    <t>Accumulate 3000 gold.</t>
  </si>
  <si>
    <t>Liberty or Death</t>
  </si>
  <si>
    <t>Start as USA in 1776 bookmark and own all your cores while being at peace.</t>
  </si>
  <si>
    <t>Krabater</t>
  </si>
  <si>
    <t>Form the nation of Croatia and station a unit of cavalry in Stockholm.</t>
  </si>
  <si>
    <t>Marshy March</t>
  </si>
  <si>
    <t>Have a march with at least two marsh provinces.</t>
  </si>
  <si>
    <t>Not so sad a state...</t>
  </si>
  <si>
    <t>As Portugal, have a colony in Brazil and in Africa.</t>
  </si>
  <si>
    <t>Populists in Government</t>
  </si>
  <si>
    <t>Switch government type through government reforms.</t>
  </si>
  <si>
    <t>Queen of Conquest</t>
  </si>
  <si>
    <t>Conquer land while in a Queen Regency.</t>
  </si>
  <si>
    <t>Seriously?!</t>
  </si>
  <si>
    <t>Kill 10,000 men in one battle.</t>
  </si>
  <si>
    <t>Subsidize my Love</t>
  </si>
  <si>
    <t>Tear Down This Wall</t>
  </si>
  <si>
    <t>Use Artillery Barrage on Berlin.</t>
  </si>
  <si>
    <t>That is mine!</t>
  </si>
  <si>
    <t>Conquer a province.</t>
  </si>
  <si>
    <t>That's a Grand Army</t>
  </si>
  <si>
    <t>Build up your army to your country's maximum army forcelimit.</t>
  </si>
  <si>
    <t>That's a Grand Navy</t>
  </si>
  <si>
    <t>Build up your navy to your country's maximum navy forcelimit.</t>
  </si>
  <si>
    <t>The Continuation of Diplomacy</t>
  </si>
  <si>
    <t>Successfully use Threaten War to gain a province from another nation.</t>
  </si>
  <si>
    <t>The Six Nations</t>
  </si>
  <si>
    <t>Form a Federation of at least six nations as the Iroquois.</t>
  </si>
  <si>
    <t>This is My Faith</t>
  </si>
  <si>
    <t>Convert to Protestantism and unlock 3 Aspects of Faith.</t>
  </si>
  <si>
    <t>Three Trivial Tributary Tribes</t>
  </si>
  <si>
    <t>Have 3 Tribal States as Tributaries.</t>
  </si>
  <si>
    <t>Time Bandit</t>
  </si>
  <si>
    <t>Successfully steal a map from another nation.</t>
  </si>
  <si>
    <t>True Catholic</t>
  </si>
  <si>
    <t>Control three Cardinals.</t>
  </si>
  <si>
    <t>Truly Divine Ruler</t>
  </si>
  <si>
    <t>Get a 5/5/5 Ruler or higher.</t>
  </si>
  <si>
    <t>Until death do us apart</t>
  </si>
  <si>
    <t>Secure a Royal Marriage with another country.</t>
  </si>
  <si>
    <t>Victorious!</t>
  </si>
  <si>
    <t>Win a war.</t>
  </si>
  <si>
    <t>Absolutely</t>
  </si>
  <si>
    <t>Gain 100 Absolutism.</t>
  </si>
  <si>
    <t>Blockader</t>
  </si>
  <si>
    <t>Blockade at least 10 ports of one enemy.</t>
  </si>
  <si>
    <t>Brothers in Arms</t>
  </si>
  <si>
    <t>Win a war as a secondary participant.</t>
  </si>
  <si>
    <t>City of Cities</t>
  </si>
  <si>
    <t>Own a core province with at least 60 development.</t>
  </si>
  <si>
    <t>David the Builder</t>
  </si>
  <si>
    <t>As Georgia have no free building slots in any owned province.</t>
  </si>
  <si>
    <t>In the Name of the Father</t>
  </si>
  <si>
    <t>As an Orthodox country, have 100 Patriarch Authority.</t>
  </si>
  <si>
    <t>Just a Little Patience</t>
  </si>
  <si>
    <t>Play a campaign from 1444 until 1820.</t>
  </si>
  <si>
    <t>Just Resting In My Account</t>
  </si>
  <si>
    <t>Corrupt the officials in a Rival country.</t>
  </si>
  <si>
    <t>Respected</t>
  </si>
  <si>
    <t>Have 100 prestige, 100 legitimacy and three stability.</t>
  </si>
  <si>
    <t>Turning the Tide</t>
  </si>
  <si>
    <t>Start as a Steppe Horde in 1444 and embrace all institutions.</t>
  </si>
  <si>
    <t>World Discoverer</t>
  </si>
  <si>
    <t>Discover all non-wasteland land provinces.</t>
  </si>
  <si>
    <t>Poland can into space</t>
  </si>
  <si>
    <t>As Poland, reach the maximum level in all technologies (32).</t>
  </si>
  <si>
    <t>Sakoku Law</t>
  </si>
  <si>
    <t>Go full isolationist in 6 Incidents.</t>
  </si>
  <si>
    <t>Trustworthy</t>
  </si>
  <si>
    <t>Have five allies with 100 trust towards you each.</t>
  </si>
  <si>
    <t>Truly Good Maaaaa-tch</t>
  </si>
  <si>
    <t>Czechs and Balances</t>
  </si>
  <si>
    <t>E</t>
  </si>
  <si>
    <t>Pyramid of Skulls</t>
  </si>
  <si>
    <t>As a Steppe Horde, raze a province with at least 30 development.</t>
  </si>
  <si>
    <t>A Pile of Gold</t>
  </si>
  <si>
    <t>Own 10 provinces which produce gold.</t>
  </si>
  <si>
    <t>All belongs to Mother Russia</t>
  </si>
  <si>
    <t>Start as a country of Russian culture and form Russia.</t>
  </si>
  <si>
    <t>An Industrial Evolution</t>
  </si>
  <si>
    <t>At every continent</t>
  </si>
  <si>
    <t>Own one province on each continent.</t>
  </si>
  <si>
    <t>Azur semé de lis or</t>
  </si>
  <si>
    <t>Get all the French Cores as France.</t>
  </si>
  <si>
    <t>Baa Baa Black Sheep</t>
  </si>
  <si>
    <t>As Qara Qoyunlu become the leading producer of wool.</t>
  </si>
  <si>
    <t>Blood for the Sky God!</t>
  </si>
  <si>
    <t>As a Tengri nation, have Nahuatl as your syncretic faith.</t>
  </si>
  <si>
    <t>Brick by Brick</t>
  </si>
  <si>
    <t>Bright Spark</t>
  </si>
  <si>
    <t>Have 50 Innovativeness.</t>
  </si>
  <si>
    <t>Center of Attention</t>
  </si>
  <si>
    <t>Own both a Protestant and a Reformed Center of Reformation.</t>
  </si>
  <si>
    <t>Chop Chop</t>
  </si>
  <si>
    <t>With only one Monarch, have six different Consorts.</t>
  </si>
  <si>
    <t>Cities of Cibola</t>
  </si>
  <si>
    <t>Colonial Management</t>
  </si>
  <si>
    <t>Die Please Die</t>
  </si>
  <si>
    <t>Down Under</t>
  </si>
  <si>
    <t>Have a colony in Australia.</t>
  </si>
  <si>
    <t>Dude, Where's my Boat?</t>
  </si>
  <si>
    <t>Capture 20 boats with the Boarding Naval Doctrine.</t>
  </si>
  <si>
    <t>Early-Modern Warfare</t>
  </si>
  <si>
    <t>Have 100 regiments at 100% Army Drill.</t>
  </si>
  <si>
    <t>Electable!</t>
  </si>
  <si>
    <t>Become an elector in the HRE as a country which does not start as elector.</t>
  </si>
  <si>
    <t>Forgive me, for I have Sindh</t>
  </si>
  <si>
    <t>Become Christian as Sindh.</t>
  </si>
  <si>
    <t>Four For Trade</t>
  </si>
  <si>
    <t>Form four Trade Companies and get bonus merchants from all of them.</t>
  </si>
  <si>
    <t>God Tier</t>
  </si>
  <si>
    <t>Grand Coalition</t>
  </si>
  <si>
    <t>Join a coalition of more than 5 nations.</t>
  </si>
  <si>
    <t>Hard Bargaining</t>
  </si>
  <si>
    <t>Holiest Roman Empire</t>
  </si>
  <si>
    <t>Imperio español</t>
  </si>
  <si>
    <t>As Spain have Mexico, Panama, Havana, Cuzco in colonial Nations under you.</t>
  </si>
  <si>
    <t>It's all about luck</t>
  </si>
  <si>
    <t>Win a battle against a great leader, without a leader.</t>
  </si>
  <si>
    <t>Kow-Tow</t>
  </si>
  <si>
    <t>As Ming, have a subject from each religion group.</t>
  </si>
  <si>
    <t>Land of Eastern Jade</t>
  </si>
  <si>
    <t>Own a core province in the Mexico region as a Buddhist country.</t>
  </si>
  <si>
    <t>Let It Go!</t>
  </si>
  <si>
    <t>Made in Japan</t>
  </si>
  <si>
    <t>Embrace "manufactories" institution as Japan by 1655.</t>
  </si>
  <si>
    <t>Magellan’s Voyage</t>
  </si>
  <si>
    <t>Make the first circumnavigation.</t>
  </si>
  <si>
    <t>Maharana Pratap</t>
  </si>
  <si>
    <t>Start as Mewar and field an army of 20 Rajput regiments.</t>
  </si>
  <si>
    <t>Multiculturalism</t>
  </si>
  <si>
    <t>My True Friend</t>
  </si>
  <si>
    <t>Go to war in support of a rebel faction and win, enforcing their demands.</t>
  </si>
  <si>
    <t>Networking</t>
  </si>
  <si>
    <t>Have 100 point spy networks in 3 Rival nations.</t>
  </si>
  <si>
    <t>Nobody wants to die</t>
  </si>
  <si>
    <t>Own Timbuktu as Songhai</t>
  </si>
  <si>
    <t>On the Edge of Madness</t>
  </si>
  <si>
    <t>As Aztecs, reach 95 Doom, then go 20 years without Doom hitting 100.</t>
  </si>
  <si>
    <t>One Family to Rule them All</t>
  </si>
  <si>
    <t>One King to Rule!</t>
  </si>
  <si>
    <t>As Poland, become an absolutist monarchy, abolishing the Sejm.</t>
  </si>
  <si>
    <t>One Night in Paris</t>
  </si>
  <si>
    <t>Pirate Bay of Janjira</t>
  </si>
  <si>
    <t>Have more than 50% Privateering power in the Gujarat trade node</t>
  </si>
  <si>
    <t>Queen of Mercury</t>
  </si>
  <si>
    <t>As Kilwa, own and have cores on Zanzibar and Bombay (Thana).</t>
  </si>
  <si>
    <t>Royal Authority</t>
  </si>
  <si>
    <t>Install a union through a succession war.</t>
  </si>
  <si>
    <t>Rozwi Empire</t>
  </si>
  <si>
    <t>Starting as Butua, conquer Mutapa (Zimbabwe and Lower Zambezi areas).</t>
  </si>
  <si>
    <t>Sikh Pun</t>
  </si>
  <si>
    <t>Convert to Sikhism and form the nation of Punjab.</t>
  </si>
  <si>
    <t>Strait Talk</t>
  </si>
  <si>
    <t>As Hormuz, have at least 10 diplomatic reputation</t>
  </si>
  <si>
    <t>Surfing USA</t>
  </si>
  <si>
    <t>Form the USA as Hawaii.</t>
  </si>
  <si>
    <t>The Coin is Stronger than the Sword</t>
  </si>
  <si>
    <t>Charter Company from an Indian nation.</t>
  </si>
  <si>
    <t>The Emperors new clothes</t>
  </si>
  <si>
    <t>Overthrow Austria and become the Emperor of the Holy Roman Empire.</t>
  </si>
  <si>
    <t>The Five Colonies</t>
  </si>
  <si>
    <t>Have five colonial nations.</t>
  </si>
  <si>
    <t>The Power of Three</t>
  </si>
  <si>
    <t>Own a Crown Colony, a Self-Governing Colony and a Private Enterprise.</t>
  </si>
  <si>
    <t>The Princess is in this Castle</t>
  </si>
  <si>
    <t>The White Company</t>
  </si>
  <si>
    <t>To the Bone</t>
  </si>
  <si>
    <t>As Bone, use pillage capital at least 7 times.</t>
  </si>
  <si>
    <t>Trade Hegemon</t>
  </si>
  <si>
    <t>Vasa or Wettin?</t>
  </si>
  <si>
    <t>Viva la Revolución!</t>
  </si>
  <si>
    <t>Have rebels you support in another country enforce their demands.</t>
  </si>
  <si>
    <t>Voting Streak</t>
  </si>
  <si>
    <t>Successfully pass 11 issues in a row in Parliament.</t>
  </si>
  <si>
    <t>Where Am I?</t>
  </si>
  <si>
    <t>Winged Hussars</t>
  </si>
  <si>
    <t>You Get A New Home, And You Get A New Home</t>
  </si>
  <si>
    <t>Expel 5 different minorities to your colonies.</t>
  </si>
  <si>
    <t>A Fine Goosestep</t>
  </si>
  <si>
    <t>Form Prussia and have at least 125% Discipline.</t>
  </si>
  <si>
    <t>Carthago Delenda Est</t>
  </si>
  <si>
    <t>Cherrypicking</t>
  </si>
  <si>
    <t>Conscript a 3 star general from a Daimyo Subject.</t>
  </si>
  <si>
    <t>My armies are invincible!</t>
  </si>
  <si>
    <t>Gain at least 7.0 land morale.</t>
  </si>
  <si>
    <t>Ruina Imperii</t>
  </si>
  <si>
    <t>Dismantle the Holy Roman Empire.</t>
  </si>
  <si>
    <t>Sweet Harmony</t>
  </si>
  <si>
    <t>Harmonize 7 religions as Confucian.</t>
  </si>
  <si>
    <t>The pen is mightier than the sword</t>
  </si>
  <si>
    <t>Have three unions at the same time as Austria or Austria-Hungary.</t>
  </si>
  <si>
    <t>This navy can take it all</t>
  </si>
  <si>
    <t>Gain at least 7.0 naval morale.</t>
  </si>
  <si>
    <t>Trophy Hunter</t>
  </si>
  <si>
    <t>Capture an enemy flagship.</t>
  </si>
  <si>
    <t>A Kaiser not just in name</t>
  </si>
  <si>
    <t>Form the Holy Roman Empire.</t>
  </si>
  <si>
    <t>Fanatic Collectivist</t>
  </si>
  <si>
    <t>Own all Institution Origin provinces.</t>
  </si>
  <si>
    <t>Global Hegemony</t>
  </si>
  <si>
    <t>Reach 100% Strength as any type of Hegemon.</t>
  </si>
  <si>
    <t>Østindisk Kompagni Te</t>
  </si>
  <si>
    <t>As Denmark establish Trade company and have at least 10% Tea market share.</t>
  </si>
  <si>
    <t>Breadbasket of the World</t>
  </si>
  <si>
    <t>As the Mamluks, export grain to every continent at least once.</t>
  </si>
  <si>
    <t>Timurizz</t>
  </si>
  <si>
    <t>Voltaire's Nightmare</t>
  </si>
  <si>
    <t>Have at least 100 countries in the HRE.</t>
  </si>
  <si>
    <t>M</t>
  </si>
  <si>
    <t>Abu Bakr II’s Ambition</t>
  </si>
  <si>
    <t>Start as Mali and have 4 Colonial Subjects in South America.</t>
  </si>
  <si>
    <t>Aggressive Expander</t>
  </si>
  <si>
    <t>Own 200 provinces.</t>
  </si>
  <si>
    <t>Black Jack</t>
  </si>
  <si>
    <t>Disciples of Enlightenment</t>
  </si>
  <si>
    <t>Starting as Dai Viet, have 10 nations follow the Mahayana Faith by 1500.</t>
  </si>
  <si>
    <t>Grand Duchy</t>
  </si>
  <si>
    <t>Relentless Push East</t>
  </si>
  <si>
    <t>Starting as a Russian nation, By 1600 own the East Siberian Coastline.</t>
  </si>
  <si>
    <t>Shemot is Not</t>
  </si>
  <si>
    <t>Sweet Home Qaraqorum</t>
  </si>
  <si>
    <t>As the Mughals assimilate Mongolian culture.</t>
  </si>
  <si>
    <t>The Spice Must Flow</t>
  </si>
  <si>
    <t>Form the nation of Malaya.</t>
  </si>
  <si>
    <t>Turn the Table</t>
  </si>
  <si>
    <t>A tale of two Families</t>
  </si>
  <si>
    <t>AEIOU</t>
  </si>
  <si>
    <t>Complete the Austrian mission tree.</t>
  </si>
  <si>
    <t>All Your Trade Are Belong to Us</t>
  </si>
  <si>
    <t>Arabian Coffee</t>
  </si>
  <si>
    <t>Form Arabia and be the nation producing the most coffee in the world.</t>
  </si>
  <si>
    <t>Atwix Legacy</t>
  </si>
  <si>
    <t>Have 10 personal unions at the same time.</t>
  </si>
  <si>
    <t>Barbarossa</t>
  </si>
  <si>
    <t>As a Maghrebi nation, have 500 light ships privateering at the same time.</t>
  </si>
  <si>
    <t>Bengal Tiger</t>
  </si>
  <si>
    <t>Start as Bengal and own Samarkand as a core province.</t>
  </si>
  <si>
    <t>Bleed Them Dry</t>
  </si>
  <si>
    <t>Have 10 different War Reparations being paid to you at the same time.</t>
  </si>
  <si>
    <t>Dar al-Islam</t>
  </si>
  <si>
    <t>Unify Islam under your rule.</t>
  </si>
  <si>
    <t>Definitely the Sultan of Rum</t>
  </si>
  <si>
    <t>Own and have cores on Rome, Moscow and Istanbul as Ottomans or Rum.</t>
  </si>
  <si>
    <t>Don’t be Cilli</t>
  </si>
  <si>
    <t>Starting as Cilli, form another nation.</t>
  </si>
  <si>
    <t>Even Better than Piet Heyn</t>
  </si>
  <si>
    <t>Gain over 100 gold from privateering a single treasure fleet.</t>
  </si>
  <si>
    <t>Fine Financials</t>
  </si>
  <si>
    <t>Own Eight level 3 Centres of Trade.</t>
  </si>
  <si>
    <t>Ganges Khan</t>
  </si>
  <si>
    <t>Start as Tribal nation in India and become a Steppe Horde.</t>
  </si>
  <si>
    <t>Georgia on my Mind</t>
  </si>
  <si>
    <t>Fully own all three Georgias.</t>
  </si>
  <si>
    <t>Golden Horn</t>
  </si>
  <si>
    <t>Golden Wind</t>
  </si>
  <si>
    <t>Great Moravia</t>
  </si>
  <si>
    <t>Restore the Great Moravian borders as Nitra or Moravia.</t>
  </si>
  <si>
    <t>Hanukkah Mutapa</t>
  </si>
  <si>
    <t>Starting as Mutapa, convert to Judaism and celebrate a festival.</t>
  </si>
  <si>
    <t>Hessian Mercenaries</t>
  </si>
  <si>
    <t>As Hesse, have at least 50 regiments of mercenaries and no loans.</t>
  </si>
  <si>
    <t>Hoarder</t>
  </si>
  <si>
    <t>As a Fetishist nation, have 13 available Cults.</t>
  </si>
  <si>
    <t>Home and Away</t>
  </si>
  <si>
    <t>As Wales, hold Cardiff, Dublin, Edinburgh, Rome, Paris and London.</t>
  </si>
  <si>
    <t>Ideas Guy</t>
  </si>
  <si>
    <t>Industrial Powerhouse</t>
  </si>
  <si>
    <t>Have 10 furnaces built in your nation.</t>
  </si>
  <si>
    <t>Italian Ambition</t>
  </si>
  <si>
    <t>Form Italy.</t>
  </si>
  <si>
    <t>Je maintiendrai</t>
  </si>
  <si>
    <t>Form the Netherlands as a minor nation starting with Dutch culture.</t>
  </si>
  <si>
    <t>Kingdom of God</t>
  </si>
  <si>
    <t>Starting as the Papal State, become the Kingdom of God</t>
  </si>
  <si>
    <t>Kirishitan Japan</t>
  </si>
  <si>
    <t>Kuban Cigars</t>
  </si>
  <si>
    <t>Laughingstock</t>
  </si>
  <si>
    <t>Own the provinces of Haha, Hehe and Lolland.</t>
  </si>
  <si>
    <t>Lion of the North</t>
  </si>
  <si>
    <t>Live Long and Prosper</t>
  </si>
  <si>
    <t>Mansa Musa</t>
  </si>
  <si>
    <t>Market Control</t>
  </si>
  <si>
    <t>Be trade leader of seven different goods.</t>
  </si>
  <si>
    <t>Mary of Lotharingia</t>
  </si>
  <si>
    <t>Starting as Burgundy, form Lotharingia and have a female ruler named Marie.</t>
  </si>
  <si>
    <t>Napoleon’s Ambition</t>
  </si>
  <si>
    <t>As Revolutionary France, spread the Revolution to 10 countries.</t>
  </si>
  <si>
    <t>Neither Holy, Nor German</t>
  </si>
  <si>
    <t>Have 7 Free Cities in the Empire, none of which is of a Germanic culture.</t>
  </si>
  <si>
    <t>No Pirates in my Caribbean</t>
  </si>
  <si>
    <t>Own or have a subject own the entire Caribbean.</t>
  </si>
  <si>
    <t>Not just Pizza</t>
  </si>
  <si>
    <t>Become a Great Power as Naples.</t>
  </si>
  <si>
    <t>No Trail of Tears</t>
  </si>
  <si>
    <t>Parisian Pasha</t>
  </si>
  <si>
    <t>Assign Pasha to Paris.</t>
  </si>
  <si>
    <t>Redecorating</t>
  </si>
  <si>
    <t>Starting as an Orthodox Nation, Consecrate Metropolitan in Roma.</t>
  </si>
  <si>
    <t>Rekindling the Flames</t>
  </si>
  <si>
    <t>Sinaasappel!</t>
  </si>
  <si>
    <t>Sleepless in Seattle</t>
  </si>
  <si>
    <t>Own 10 Coffee producing provinces, and have your capital in Salish.</t>
  </si>
  <si>
    <t>Sons of Carthage</t>
  </si>
  <si>
    <t>Super Trooper</t>
  </si>
  <si>
    <t>Swahili Persuasion</t>
  </si>
  <si>
    <t>As Kilwa, convert all of the Moluccas and Indonesia.</t>
  </si>
  <si>
    <t>Sweden is not overpowered!</t>
  </si>
  <si>
    <t>Own and have cores on the entire Baltic coastline as Sweden.</t>
  </si>
  <si>
    <t>Switzerlake</t>
  </si>
  <si>
    <t>Own 99 provinces as Switzerland while owning no ports.</t>
  </si>
  <si>
    <t>Take that, von Habsburgs!</t>
  </si>
  <si>
    <t>Starting as Hungary, own all of Austria as core provinces.</t>
  </si>
  <si>
    <t>Tatarstan</t>
  </si>
  <si>
    <t>As Kazan or Nogai, own all Tatar culture group lands.</t>
  </si>
  <si>
    <t>That's No Mon</t>
  </si>
  <si>
    <t>As Pegu, own at least 50 provinces that are not of the Mon culture.</t>
  </si>
  <si>
    <t>The Bohemians</t>
  </si>
  <si>
    <t>As Bohemia, own Dublin as a core province.</t>
  </si>
  <si>
    <t>The Burgundian Conquest</t>
  </si>
  <si>
    <t>The Iron Price</t>
  </si>
  <si>
    <t>Restore the Danelaw region to Danish rule, and make it Danish culture.</t>
  </si>
  <si>
    <t>The League of Mayapan</t>
  </si>
  <si>
    <t>Starting as Huastec, form Maya.</t>
  </si>
  <si>
    <t>The Levant Turnabout</t>
  </si>
  <si>
    <t>As the Mamluks, have 100 Army Professionalism and annex the Ottomans.</t>
  </si>
  <si>
    <t>The Navigator</t>
  </si>
  <si>
    <t>As Portugal, own provinces in Africa, India and Indonesia before 1500.</t>
  </si>
  <si>
    <t>The Ostenders</t>
  </si>
  <si>
    <t>The Prince of Egypt</t>
  </si>
  <si>
    <t>Starting as Florence, form Egypt.</t>
  </si>
  <si>
    <t>The Rising Sun</t>
  </si>
  <si>
    <t>Own and have cores on all of Japan as a European nation.</t>
  </si>
  <si>
    <t>The Sudanese Expedition</t>
  </si>
  <si>
    <t>Starting as Morocco, conquer the Niger and Sahel Regions.</t>
  </si>
  <si>
    <t>The Uncommonwealth</t>
  </si>
  <si>
    <t>As Lithuania, become The Commonwealth.</t>
  </si>
  <si>
    <t>The White Elephant</t>
  </si>
  <si>
    <t>As Ayutthaya, own all of Indochina and Burma as core provinces.</t>
  </si>
  <si>
    <t>This is fine</t>
  </si>
  <si>
    <t>This Revolution Was Crushed</t>
  </si>
  <si>
    <t>Total Control</t>
  </si>
  <si>
    <t>Own 100 or more provinces with no local autonomy or unrest.</t>
  </si>
  <si>
    <t>Traditional Player</t>
  </si>
  <si>
    <t>More than 90 percent Naval and Army Tradition.</t>
  </si>
  <si>
    <t>Turtles all the way down</t>
  </si>
  <si>
    <t>As Korea get 135% Ship Durability.</t>
  </si>
  <si>
    <t>Victorian Three</t>
  </si>
  <si>
    <t>We bled for this</t>
  </si>
  <si>
    <t>Win a war with at least one million dead on both sides.</t>
  </si>
  <si>
    <t>Where are the penguins?</t>
  </si>
  <si>
    <t>Wonderful</t>
  </si>
  <si>
    <t>Own 8 different monuments on tier 3.</t>
  </si>
  <si>
    <t>Brentry!</t>
  </si>
  <si>
    <t>Copium Wars</t>
  </si>
  <si>
    <t>Starting and playing as Ming, own the Britain region.</t>
  </si>
  <si>
    <t>No Country for Old Tercios</t>
  </si>
  <si>
    <t>The Reapers</t>
  </si>
  <si>
    <t>A Decent Reserve</t>
  </si>
  <si>
    <t>Have a maximum manpower of at least 1 million.</t>
  </si>
  <si>
    <t>A Manchurian Candidate</t>
  </si>
  <si>
    <t>Start as one of the Jurchen tribes and form Qing.</t>
  </si>
  <si>
    <t>An early Reich</t>
  </si>
  <si>
    <t>Form Germany.</t>
  </si>
  <si>
    <t>Assembly Instructions Needed</t>
  </si>
  <si>
    <t>Back in Control</t>
  </si>
  <si>
    <t>Form Yuan and be the only nation holding land in China.</t>
  </si>
  <si>
    <t>Better than Napoleon</t>
  </si>
  <si>
    <t>As France, own Vienna, Berlin and Moscow as core provinces.</t>
  </si>
  <si>
    <t>Consulate of the Sea</t>
  </si>
  <si>
    <t>As Aragon conquer all Mediterranean Centers of Trade.</t>
  </si>
  <si>
    <t>For the Emperor!</t>
  </si>
  <si>
    <t>Mewar Never Changes</t>
  </si>
  <si>
    <t>Complete the Mewar Mission Tree.</t>
  </si>
  <si>
    <t>Qing of China</t>
  </si>
  <si>
    <t>Become Chinese Emperor as Qing and own all of China.</t>
  </si>
  <si>
    <t>Spain is the Emperor</t>
  </si>
  <si>
    <t>Become the Emperor of the Holy Roman Empire as Spain.</t>
  </si>
  <si>
    <t>Spice Girls</t>
  </si>
  <si>
    <t>Sun Invasion</t>
  </si>
  <si>
    <t>Stardust Crusaders</t>
  </si>
  <si>
    <t>The Chrysanthemum Throne</t>
  </si>
  <si>
    <t>Unite Japan as a Daimyo.</t>
  </si>
  <si>
    <t>The Grand Armada</t>
  </si>
  <si>
    <t>Have 500 heavy ships and no loans.</t>
  </si>
  <si>
    <t>The Sun Never Sets on the Indian Empire</t>
  </si>
  <si>
    <t>These Banners need a Saga</t>
  </si>
  <si>
    <t>Yarr Harr a Pirate's Life For Me</t>
  </si>
  <si>
    <t>Choose to play as New Providence and conquer all of Caribbeans.</t>
  </si>
  <si>
    <t>A Sun God</t>
  </si>
  <si>
    <t>First Come, First Serve</t>
  </si>
  <si>
    <t>King of Kings</t>
  </si>
  <si>
    <t>Complete the Persian mission tree.</t>
  </si>
  <si>
    <t>It's all coming together</t>
  </si>
  <si>
    <t>Complete the Incan mission tree (Sunset invasion missions excluded).</t>
  </si>
  <si>
    <t>Doge Coins</t>
  </si>
  <si>
    <t>Starting as Venice, become the Economic Hegemon.</t>
  </si>
  <si>
    <t>There Khan only be one!</t>
  </si>
  <si>
    <t>Get out of my swamp!</t>
  </si>
  <si>
    <t>The Hungarian Games</t>
  </si>
  <si>
    <t>Purify the Temple</t>
  </si>
  <si>
    <t>H</t>
  </si>
  <si>
    <t>Breaking the Yoke</t>
  </si>
  <si>
    <t>As Ryazan, own Saratov, Crimea and Kazan while being independent.</t>
  </si>
  <si>
    <t>Core-fu</t>
  </si>
  <si>
    <t>Force a nation to revoke 5 cores in one peace deal as Corfu.</t>
  </si>
  <si>
    <t>For Odin!</t>
  </si>
  <si>
    <t>Fugger Banking</t>
  </si>
  <si>
    <t>Gold Rush</t>
  </si>
  <si>
    <t>Reform the Golden Horde before 1500.</t>
  </si>
  <si>
    <t>Kushite Restoration</t>
  </si>
  <si>
    <t>Lessons of Hemmingstedt</t>
  </si>
  <si>
    <t>Rise of the White Sheep</t>
  </si>
  <si>
    <t>As Aq Qoyunlu, own Tabriz and have Qara Qoyunlu not exist by 1478.</t>
  </si>
  <si>
    <t>A Blessed Nation</t>
  </si>
  <si>
    <t>As a Coptic Nation, gain all 5 Blessings.</t>
  </si>
  <si>
    <t>A Hero’s Welcome</t>
  </si>
  <si>
    <t>Starting as Karaman, form the Sultanate of Rum.</t>
  </si>
  <si>
    <t>Almost Prussian Blue</t>
  </si>
  <si>
    <t>Anglophile</t>
  </si>
  <si>
    <t>Complete all English and British missions.</t>
  </si>
  <si>
    <t>Auld Alliance Reversed</t>
  </si>
  <si>
    <t>As Scotland, have France as a vassal (do not form Great Britain).</t>
  </si>
  <si>
    <t>Australia-Hungary</t>
  </si>
  <si>
    <t>Starting as an Australian tribe unite Australia and subjugate Hungary.</t>
  </si>
  <si>
    <t>Back to the Piast</t>
  </si>
  <si>
    <t>As Mazovia, Glogow or Opole, form the nation of Poland.</t>
  </si>
  <si>
    <t>Baltic Crusader</t>
  </si>
  <si>
    <t>Bunte Kuh</t>
  </si>
  <si>
    <t>As Hamburg, trade in both Gems and Livestock.</t>
  </si>
  <si>
    <t>Dovmont's Own</t>
  </si>
  <si>
    <t>Starting as Pskov, have 100 standing Streltsy units.</t>
  </si>
  <si>
    <t>Dracula's Revenge</t>
  </si>
  <si>
    <t>Emperor of Hindustan</t>
  </si>
  <si>
    <t>Starting as Delhi, Restore their Empire's borders.</t>
  </si>
  <si>
    <t>Everything's Coming Up Mulhouse</t>
  </si>
  <si>
    <t>Forever Golden</t>
  </si>
  <si>
    <t>Complete the Spanish Mission Tree.</t>
  </si>
  <si>
    <t>Good King René</t>
  </si>
  <si>
    <t>Start as Provence, form the Kingdom of Jerusalem.</t>
  </si>
  <si>
    <t>Guarantor of Peace</t>
  </si>
  <si>
    <t>Guarantee the Independence of France, The Ottoman Empire and Russia.</t>
  </si>
  <si>
    <t>Holy Horder</t>
  </si>
  <si>
    <t>Holy Trinity</t>
  </si>
  <si>
    <t>It's All Greek To Me</t>
  </si>
  <si>
    <t>Form Greece and own and have cores on Zeta, Thatta, Lamba, and Roh.</t>
  </si>
  <si>
    <t>Keep the Flame Burning</t>
  </si>
  <si>
    <t>King of Jerusalem</t>
  </si>
  <si>
    <t>Form the Kingdom of Jerusalem as Cyprus or The Knights.</t>
  </si>
  <si>
    <t>Kinslayer</t>
  </si>
  <si>
    <t>Knights of the Caribbean</t>
  </si>
  <si>
    <t>Lazarus</t>
  </si>
  <si>
    <t>As Serbia, own the entire Balkans as core provinces.</t>
  </si>
  <si>
    <t>Luck of the Irish</t>
  </si>
  <si>
    <t>Own and have cores on the British Isles as an Irish nation.</t>
  </si>
  <si>
    <t>Lucky Lucca</t>
  </si>
  <si>
    <t>As Lucca, own Lucknow!</t>
  </si>
  <si>
    <t>Mare Nostrum</t>
  </si>
  <si>
    <t>Mass Production</t>
  </si>
  <si>
    <t>Starting as Odoyev, own one of every manufactory.</t>
  </si>
  <si>
    <t>Master of India</t>
  </si>
  <si>
    <t>Own and have cores on all of India as a European nation.</t>
  </si>
  <si>
    <t>On the Rhodes Again</t>
  </si>
  <si>
    <t>One nation to rule them all</t>
  </si>
  <si>
    <t>Over a Thousand!</t>
  </si>
  <si>
    <t>Own 1001 provinces directly.</t>
  </si>
  <si>
    <t>Pandya Empire</t>
  </si>
  <si>
    <t>Starting as Madurai, conquer the Pandya Territories.</t>
  </si>
  <si>
    <t>Philippine Tiger</t>
  </si>
  <si>
    <t>As Cebu, recreate the Chola Empire.</t>
  </si>
  <si>
    <t>Pick Your Poison</t>
  </si>
  <si>
    <t>As Kaffa, develop in Cafa while a subject of yours owns it.</t>
  </si>
  <si>
    <t>Prester John</t>
  </si>
  <si>
    <t>Protect the Secret</t>
  </si>
  <si>
    <t>Sailor Mon</t>
  </si>
  <si>
    <t>As Pegu, have at least 100,000 sailors.</t>
  </si>
  <si>
    <t>Spaghetti Western</t>
  </si>
  <si>
    <t>Starting as Bologna, become Mexico or Texas.</t>
  </si>
  <si>
    <t>Stern des Südens</t>
  </si>
  <si>
    <t>Form Bavaria starting as München and have your Subject Bremen own Werder.</t>
  </si>
  <si>
    <t>Stiff Upper Lippe</t>
  </si>
  <si>
    <t>As Lippe, own all of the British Isles.</t>
  </si>
  <si>
    <t>Sworn Fealty</t>
  </si>
  <si>
    <t>Terra Mariana</t>
  </si>
  <si>
    <t>As Riga, own or have a subject own the Baltic region.</t>
  </si>
  <si>
    <t>That's a Silk Road</t>
  </si>
  <si>
    <t>Own or have a subject own all provinces in the world producing silk.</t>
  </si>
  <si>
    <t>The 52 Garhs</t>
  </si>
  <si>
    <t>As Garhwal own and maintain 52 forts without going into debt.</t>
  </si>
  <si>
    <t>The Freest Man in the World</t>
  </si>
  <si>
    <t>Tiger of Mysore</t>
  </si>
  <si>
    <t>Starting as Mysore, Conquer the Deccan and Coromandel Regions.</t>
  </si>
  <si>
    <t>Turkish Delight</t>
  </si>
  <si>
    <t>Start as Candar and own 20 Sugar provinces between you and your subjects.</t>
  </si>
  <si>
    <t>Venetian Sea</t>
  </si>
  <si>
    <t>Why is the Rûm gone!?</t>
  </si>
  <si>
    <t>As Asturias, establish an Order in Rum.</t>
  </si>
  <si>
    <t>With a little help..</t>
  </si>
  <si>
    <t>Triple the Rome</t>
  </si>
  <si>
    <t>As Russia, be the Emperor of China and the HRE.</t>
  </si>
  <si>
    <t>African Power</t>
  </si>
  <si>
    <t>Own and have cores on all provinces in Africa as Kongo.</t>
  </si>
  <si>
    <t>Avar Khaganate</t>
  </si>
  <si>
    <t>Achieve Empire rank and conquer Hungary as Avaria.</t>
  </si>
  <si>
    <t>Basileus</t>
  </si>
  <si>
    <t>Big Blue Blob</t>
  </si>
  <si>
    <t>As France, hold 100 European core provinces before 1500.</t>
  </si>
  <si>
    <t>Choson One</t>
  </si>
  <si>
    <t>Cotton Kandy</t>
  </si>
  <si>
    <t>As Kandy be production leader in Cotton.</t>
  </si>
  <si>
    <t>Foremost Servitor of Jagannath</t>
  </si>
  <si>
    <t>Start as Orissa and own or have a subject own all tropical wood provinces.</t>
  </si>
  <si>
    <t>I'll graze my horse here.. And here...</t>
  </si>
  <si>
    <t>As a Horde, own over 200 provinces producing grain.</t>
  </si>
  <si>
    <t>Komnenoi Empire</t>
  </si>
  <si>
    <t>As Trebizond, have the Empire government rank.</t>
  </si>
  <si>
    <t>Meissner Porcelain</t>
  </si>
  <si>
    <t>As Saxony, own or have a subject own all Chinaware provinces in the world.</t>
  </si>
  <si>
    <t>Never say Nevers</t>
  </si>
  <si>
    <t>As Nevers, own the entire France region as core provinces.</t>
  </si>
  <si>
    <t>New, New Deli</t>
  </si>
  <si>
    <t>As Deli, have your capital in the Delhi province.</t>
  </si>
  <si>
    <t>The Fezzan Corridors</t>
  </si>
  <si>
    <t>The Great Khan</t>
  </si>
  <si>
    <t>The Pheasant Strut</t>
  </si>
  <si>
    <t>The Re-Reconquista</t>
  </si>
  <si>
    <t>As Granada, form Andalusia and reconquer all of Iberia.</t>
  </si>
  <si>
    <t>This is Persia!</t>
  </si>
  <si>
    <t>Ultimate Military</t>
  </si>
  <si>
    <t>As Songhai, have Prussia and Nepal as marches!</t>
  </si>
  <si>
    <t>Restore the Pentarchy</t>
  </si>
  <si>
    <t>Desert Power</t>
  </si>
  <si>
    <t>The Last Crusade</t>
  </si>
  <si>
    <t>The Zoro-Austrians</t>
  </si>
  <si>
    <t>Veritas Vincit</t>
  </si>
  <si>
    <t>Mayapahit?</t>
  </si>
  <si>
    <t>Baborg</t>
  </si>
  <si>
    <t>As the Mughals, assimilate at least 12 culture groups.</t>
  </si>
  <si>
    <t>The First Toungoo Empire</t>
  </si>
  <si>
    <t>As Taungu, unite the Burman culture group by 1500.</t>
  </si>
  <si>
    <t>VH</t>
  </si>
  <si>
    <t>I don't like sand</t>
  </si>
  <si>
    <t>The Animal Kingdom</t>
  </si>
  <si>
    <t>As Manipur, unite the Bengal region and convert it to Animism.</t>
  </si>
  <si>
    <t>Academical</t>
  </si>
  <si>
    <t>As Athens, own 50 universities.</t>
  </si>
  <si>
    <t>Albania or Iberia</t>
  </si>
  <si>
    <t>As Albania, own or have a subject own Iberia and the Caucasus.</t>
  </si>
  <si>
    <t>An Unlikely Candidate</t>
  </si>
  <si>
    <t>Starting as Mzab, Touggourt or Djerid, reform Al-Andalus.</t>
  </si>
  <si>
    <t>Around the World in 80 Years</t>
  </si>
  <si>
    <t>Basque in Glory</t>
  </si>
  <si>
    <t>Crossing the Finnish Line</t>
  </si>
  <si>
    <t>Empire of Mann</t>
  </si>
  <si>
    <t>As Mann, conquer all Islands in the world.</t>
  </si>
  <si>
    <t>Frozen Assets</t>
  </si>
  <si>
    <t>Gothic Invasion</t>
  </si>
  <si>
    <t>Start as Theodoro and conquer all Germanic culture provinces in Europe.</t>
  </si>
  <si>
    <t>Great Perm</t>
  </si>
  <si>
    <t>Inner Turmoil</t>
  </si>
  <si>
    <t>Jihad</t>
  </si>
  <si>
    <t>As Najd, own 500 Sunni provinces.</t>
  </si>
  <si>
    <t>KHAAAAAAN</t>
  </si>
  <si>
    <t>Restore the Mongol Empire before the Age of Absolutism.</t>
  </si>
  <si>
    <t>Norwegian Wood</t>
  </si>
  <si>
    <t>Own or have a subject own all naval supplies provinces as Norway.</t>
  </si>
  <si>
    <t>Quizquiz Pro Quo</t>
  </si>
  <si>
    <t>As Quizquiz, have your capital in the Anjou province.</t>
  </si>
  <si>
    <t>Rags and Riches</t>
  </si>
  <si>
    <t>Raja of the Rajput Reich</t>
  </si>
  <si>
    <t>Conquer all of Germany as Nagaur.</t>
  </si>
  <si>
    <t>Saladin's Legacy</t>
  </si>
  <si>
    <t>Playing as Hisn Kayfa, reforge the Ayyubid Empire.</t>
  </si>
  <si>
    <t>Shahanshah</t>
  </si>
  <si>
    <t>Start as Ardabil and form Persia or Eranshahr.</t>
  </si>
  <si>
    <t>Spanish Fly</t>
  </si>
  <si>
    <t>Starting as Offaly, secure a Personal Union over an Iberian nation.</t>
  </si>
  <si>
    <t>Sunset Invasion</t>
  </si>
  <si>
    <t>The Buddhists Strike Back</t>
  </si>
  <si>
    <t>As Kotte or Kandy, own all of India and convert it to Theravada Buddhism.</t>
  </si>
  <si>
    <t>The Third Way</t>
  </si>
  <si>
    <t>Where the heart is</t>
  </si>
  <si>
    <t>As Dahomey, force all non-Fetishist nations out of Niger and Sahel by 1500.</t>
  </si>
  <si>
    <t>World Conqueror</t>
  </si>
  <si>
    <t>Own or have a subject own the entire world.</t>
  </si>
  <si>
    <t>All Blue</t>
  </si>
  <si>
    <t>From Frankfurt to the Andes</t>
  </si>
  <si>
    <t>Mets Hayk</t>
  </si>
  <si>
    <t>Legacy of Saint George</t>
  </si>
  <si>
    <t>The Eagle flies alone</t>
  </si>
  <si>
    <t>Starting as Hisn Kayfa, reach a forcelimit of 500k.</t>
  </si>
  <si>
    <t>Eat your Greens</t>
  </si>
  <si>
    <t>Control all Grasslands in Asia as Kale before the age of Absolutism.</t>
  </si>
  <si>
    <t>I</t>
  </si>
  <si>
    <t>One Faith</t>
  </si>
  <si>
    <t>Have all non-wasteland land provinces in the world be of your religion.</t>
  </si>
  <si>
    <t>The Three Mountains</t>
  </si>
  <si>
    <t>Own or have a subject own the entire world as Ryukyu.</t>
  </si>
  <si>
    <t>True Heir of Timur</t>
  </si>
  <si>
    <t>Starting as a Timurid subject, form the Mughals and conquer India by 1550.</t>
  </si>
  <si>
    <t>Mehmet's Ambition</t>
  </si>
  <si>
    <t>Name</t>
  </si>
  <si>
    <t>Description</t>
  </si>
  <si>
    <t>Difficulty</t>
  </si>
  <si>
    <t>Percentage</t>
  </si>
  <si>
    <t>Form Inca, embrace all Institutions and own all of South America as core 
provinces.</t>
  </si>
  <si>
    <t>Starting as Vijayanagar or Bahmanis conquer the other’s capital and have 
them not exist.</t>
  </si>
  <si>
    <t>As Portugal, all of Europe is owned by you or blue European countries that 
exist in 1444.</t>
  </si>
  <si>
    <t>Have the highest trade power in Genoa, Venice and English Channel while 
having an income of at least 300 ducats per month.</t>
  </si>
  <si>
    <t>Starting as the Livonian Order, form Livonia and own the territory of the 
North German Confederation as core provinces.</t>
  </si>
  <si>
    <t>As Great Britain, own all of England as core provinces and have at least 
25 development in each province there.</t>
  </si>
  <si>
    <t>Starting as a Custom Nation of up to 400 points in the British Region, own 
New York, San Francisco, Suez, Bombay, Calcutta, Hong Kong and Yokohama by 
1524.11.11.</t>
  </si>
  <si>
    <t>Form Scandinavia and revoke the privilegia of the Holy Roman Empire while 
being the Emperor.</t>
  </si>
  <si>
    <t>As Teutonic Order or Livonian Order, own all of Russia as core provinces 
and convert it to Catholic.</t>
  </si>
  <si>
    <t>As Byzantium, restore the borders of the Eastern Roman Empire in the 
Balkans and Anatolia.</t>
  </si>
  <si>
    <t>Starting as Navarra, ensure that most of Iberia is Basque culture before 
the Age of Absolutism.</t>
  </si>
  <si>
    <t>Have at least 21 different subjects with 5 cities each and without any 
subject having 50% or more Liberty Desire. Trade Companies do not count.</t>
  </si>
  <si>
    <t>Starting as England, form the Angevin Kingdom and enact all the 'Acts of 
Crown' parliamentary issues.</t>
  </si>
  <si>
    <t>Starting as Denmark, enact the Unified Kalmar Monarchy government reform 
and own the entire Scandinavian region as your cores.</t>
  </si>
  <si>
    <t>As an Italian culture nation, make sure entire Tunis Area is at 100 
devastation.</t>
  </si>
  <si>
    <t>As Korea, own or have a subject own all Shinto, Confucian and Buddhist 
provinces in the world.</t>
  </si>
  <si>
    <t>As a Nation that has Pueblo as primary culture, own at least 7 provinces 
with 10 development each.</t>
  </si>
  <si>
    <t>Have 3 colonial governors that were directly appointed by you at the same 
time.</t>
  </si>
  <si>
    <t>Have a fort and a supply depot in a mountainous province producing 
livestock.</t>
  </si>
  <si>
    <t>Release and play as Finland in 1444 and have a direct land connection to 
the Cape while your capital is in Nyland/Uusimaa.</t>
  </si>
  <si>
    <t>Starting as Bohemia, grant at least two privileges to each estate while 
having at least 50% Crown Land.</t>
  </si>
  <si>
    <t>Starting as an Arabian Tribe, have the Oasis privilege enacted, and more 
than 1000 development in the Arabian Region.</t>
  </si>
  <si>
    <t>Have a ruler with 1 or lower in all three categories who is over the age 
of 70.</t>
  </si>
  <si>
    <t>Start as Wallachia or Moldavia, form Romania and own or have a subject own 
all of the Balkans.</t>
  </si>
  <si>
    <t>Starting as Mulhouse, become Emperor of the HRE and completely 
decentralize the Empire.</t>
  </si>
  <si>
    <t>Starting as a Western technology custom nation in North America or South 
America with no more than 200 points, unite the two continents.</t>
  </si>
  <si>
    <t>Starting as a Norse custom nation with no more than 200 points and a 
maximum of 5 provinces, own &amp; core Scandinavia and the British Isles and 
convert it all to Norse.</t>
  </si>
  <si>
    <t>Form Prussia or Germany, have the Empire government rank and 40.000 
Marines raised at the same time.</t>
  </si>
  <si>
    <t>Starting as Frankfurt, form Jerusalem, and then form the Inca while owning 
Mallorca.</t>
  </si>
  <si>
    <t>Starting as a custom nation with no more than 50 points, have at least 
2000 total development.</t>
  </si>
  <si>
    <t>Start as Novgorod and control 90% of the trade power in the White Sea 
trade node while it is the highest valued trade node in the world.</t>
  </si>
  <si>
    <t>As Augsburg, subsidize 3 Great Powers 20% of their income while having 
less than 20 provinces.</t>
  </si>
  <si>
    <t>As the Netherlands, own all of the Low Countries and have 50% or more Fort 
Defense.</t>
  </si>
  <si>
    <t>Become a Tier 5 Defender of the Faith as a nation that is neither Catholic 
nor Sunni.</t>
  </si>
  <si>
    <t>As a Somali nation, fully own the Horn of Africa region and have a monthly 
gold income of at least 10 ducats.</t>
  </si>
  <si>
    <t>As Air, make 50 ducats profit per month and have 50% of your income made 
through gold provinces.</t>
  </si>
  <si>
    <t>Starting as a Duchy, have 1000 development without upgrading your 
government rank.</t>
  </si>
  <si>
    <t>As Perm, own or have a subject own the Russian, Siberian, Scandinavian, 
Canadian, Hudson Bay and Cascadian Regions.</t>
  </si>
  <si>
    <t>As Defender of a Muslim Faith, propagate your religion in The Moluccas 
through trade to convert 5 provinces.</t>
  </si>
  <si>
    <t>As either the Papal States or the Emperor, have the Papal States as an 
Elector while the HRE is officially Catholic.</t>
  </si>
  <si>
    <t>Starting as the Teutonic Order, form the Mongol Empire while have the Holy 
Horde government reform enacted.</t>
  </si>
  <si>
    <t>As the Papacy, own Jerusalem and have Livonian Order, Teutonic Order and 
The Knights as Marches.</t>
  </si>
  <si>
    <t>Have the most development while owning no province with terrain other than 
desert or coastal desert.</t>
  </si>
  <si>
    <t>Starting as a custom nation with the full 800 points but no more than 3 
total development, have a monthly income of at least 500 ducats.</t>
  </si>
  <si>
    <t>As Sus, have three countries hostile to you (less than 0 opinion) after 
they discovered your spy.</t>
  </si>
  <si>
    <t>Starting as The Isles, own 20 provinces by 1500, none of which are on 
Islands.</t>
  </si>
  <si>
    <t>As a Zoroastrian nation, own all Religious Centers and Monument Baku 
Ateshgah on tier 3.</t>
  </si>
  <si>
    <t>As Tver, Yaroslavl, Ryazan, Beloozero, Rostov or Odoyev, eliminate all 
other Rurikovich nations without changing your ruling dynasty.</t>
  </si>
  <si>
    <t>Start as a Japanese Daimyo, convert yourself and all of Japan to 
Christianity.</t>
  </si>
  <si>
    <t>Starting as the Knights, own the Caribbean and every island in the 
Mediterranean. (Colonies are NOT allowed)</t>
  </si>
  <si>
    <t>As Kuba, own or have a subject own Havana and be the world’s leading 
producer of Tobacco.</t>
  </si>
  <si>
    <t>As a Nubian culture nation, own or have a non-Tributary subject own the 
entire Egyptian region.</t>
  </si>
  <si>
    <t>As Georgia, have as vassals Genoa, Aragon, England and Trier or their 
successors, and control Wales.</t>
  </si>
  <si>
    <t>As Dithmarschen, hold the provinces of Sjaelland and Holland while Denmark 
do not exist.</t>
  </si>
  <si>
    <t>Starting as Norway, have your capital in the Canada region while not 
owning any province in Scandinavia and not playing as a released subject.</t>
  </si>
  <si>
    <t>Start as Sweden and lead the Protestant League to victory against the 
Emperor.</t>
  </si>
  <si>
    <t>Have 30 states with prosperity at the same time as you have a 70 year old 
ruler.</t>
  </si>
  <si>
    <t>As Mali, give 10k ducats away to another great power without having a 
single loan or being bankrupt.</t>
  </si>
  <si>
    <t>Restore the Roman Empire and own the entire Mediterranean and Black Sea 
coast lines.</t>
  </si>
  <si>
    <t>Starting as any Mayan country, form Maya and own or have a subject own the 
island of Java.</t>
  </si>
  <si>
    <t>Starting as The Ottomans, own or have Core Eyalets own all the provinces 
required to form the Roman Empire before 1500.</t>
  </si>
  <si>
    <t>Starting as Karabakh, own, core, and convert to Coptic the borders of 
Great Armenia.</t>
  </si>
  <si>
    <t>Have 4 different Cultures and 4 different religions represented in your 
court.</t>
  </si>
  <si>
    <t>As Spain, have Reformed Tercios, 33 Tercio Units, and control 3 Great 
Power capitals at the same time</t>
  </si>
  <si>
    <t>Own and have cores on the Thirteen Colonies as Cherokee with all 
institutions embraced.</t>
  </si>
  <si>
    <t>Starting as The Knights, conquer and core Constantinople, Jerusalem and 
Antioch.</t>
  </si>
  <si>
    <t>Have your dynasty on 8 thrones at the same time. Client states do not 
count.</t>
  </si>
  <si>
    <t>As Saruhan, have at least 9 loyal vassals with at least 100 development 
each.</t>
  </si>
  <si>
    <t>Start as England, own and have a core on Paris (do not form another 
country unless it's Great Britain or the Angevin Kingdom).</t>
  </si>
  <si>
    <t>Starting as Ethiopia, own and have cores on Alexandria, Antioch and 
Constantinople as a Coptic country.</t>
  </si>
  <si>
    <t>As Yemen, prevent any European Nation from owning a Coffee-producing 
province in the Old World until 1700.</t>
  </si>
  <si>
    <t>Starting as Riga, enact the Salvific Plutocracy government reform and raid 
the heretic church of Rome.</t>
  </si>
  <si>
    <t>Have the highest income in the world while neither owning nor starting 
with a province with a development level higher than 10.</t>
  </si>
  <si>
    <t>Starting as a Zoroastrian custom nation with no more than 200 points and a 
maximum of 5 provinces, rekindle the royal fires.</t>
  </si>
  <si>
    <t>Starting as Byzantium, own Rome, Constantinople, Alexandria, Antioch, and 
Jerusalem while being Orthodox.</t>
  </si>
  <si>
    <t>As a Jewish nation, convert all of Egypt to Jewish while having the Jewish 
Community Aspect active.</t>
  </si>
  <si>
    <t>Get Orangists in power with 100% Republican Tradition, and owning a 
province in China.</t>
  </si>
  <si>
    <t>As Tunisia, own and have cores on Sicily, Sardinia, the Balearic Islands, 
the coast of Algiers and the southern coast of Spain.</t>
  </si>
  <si>
    <t>Having a female ruler, have active trading bonuses for Cloves, Spices, 
Salt and Sugar.</t>
  </si>
  <si>
    <t>As Japan have the Land of the Christian Sun reform while Palestine and 
Cairo are Christian under us.</t>
  </si>
  <si>
    <t>Subsidize 3 different allies at least 50% of their monthly income without 
running a deficit.</t>
  </si>
  <si>
    <t>As the Madyas, own and have cores on Tepeacac, Mexico, Tullucan and 
Huastec.</t>
  </si>
  <si>
    <t>Own and have cores on Lisbon, Madrid, Paris, London, Amsterdam and Rome as 
the Aztecs.</t>
  </si>
  <si>
    <t>Starting as Sweden, enact the Allotment System government reform, have 80 
regiments of Carolean raised at the same time with at least +40% infantry 
combat ability.</t>
  </si>
  <si>
    <t>Starting as an Arabian Tribal Federation, unite Arabia and have Maximum 
tribal Allegiance.</t>
  </si>
  <si>
    <t>As Burgundy, own the Low Countries region as core provinces and have 
France and Austria as your subjects.</t>
  </si>
  <si>
    <t>As Fezzan, control at least 90% of the trade power in Tunis, Katsina, Safi 
and Timbuktu.</t>
  </si>
  <si>
    <t>Ensure that no colonized province in the world produces slaves while 
having the War Against the World Doctrine government reform enacted.</t>
  </si>
  <si>
    <t>Starting as Mongolia or Great Horde, own or have a subject own the 
Chinese, Russian and Persian regions.</t>
  </si>
  <si>
    <t>Starting as Hungary, win 23 battles with the Black Army against at least 
12 different countries.</t>
  </si>
  <si>
    <t>Starting as Byzantium, control Venezia, and make sure that the country 
Venice doesn't exist.</t>
  </si>
  <si>
    <t>As Austria or AH have the District and Military Administration investments 
in the West Bengal area.</t>
  </si>
  <si>
    <t>As Gorkha form Nepal and defeat Prussia with at least 100,000 Prussian 
casualties in a war (both have to be primary targets of war).</t>
  </si>
  <si>
    <t>As a country that does not start with a female heir, have a female heir 
while having a Castle in your capital (more advanced fort buildings do not 
count).</t>
  </si>
  <si>
    <t>Starting as Aragon, be a Peasant Republic and have Madrid and Paris owned 
by any Peasant Republic.</t>
  </si>
  <si>
    <t>Form Hindustan or Bharat and own or have a subject own Cape, London, Hong 
Kong (Canton) and Ottawa (Kichessipirini).</t>
  </si>
  <si>
    <t>Start as an Ibadi nation and eliminate all rival schools of Islam (do not 
convert to another religion).</t>
  </si>
  <si>
    <t>Join a war on the other side of someone to whom you have rented 
condottieri.</t>
  </si>
  <si>
    <t>Starting as Austria, convert to Zoroastrianism, and complete the Persian 
Zoroastrian missions.</t>
  </si>
  <si>
    <t>Starting as a Steppe Horde, ensure there exists no other horde than you in 
the world.</t>
  </si>
  <si>
    <t>Starting as a Jurchen nation, have 100 regiments of Banners raised at the 
same time.</t>
  </si>
  <si>
    <t>Have at least +10 Global Unrest and be in a winning coalition war, which 
was targeted against you.</t>
  </si>
  <si>
    <t>Form Persia or Eranshahr, and own Egypt, Anatolia and Greece as core 
provinces.</t>
  </si>
  <si>
    <t>In a war against the target of the Revolution, control their capital and 
have at least 99% war score.</t>
  </si>
  <si>
    <t>Starting as the Timurids, have 75 prestige, and 5 allies with 100 Trust 
and 150 opinion.</t>
  </si>
  <si>
    <t>Starting as any European country, conquer and have cores on Aden, Hormoz 
and Malacca.</t>
  </si>
  <si>
    <t>Starting as either Aq Qoyunlu or Qara Qoyunlu, have a royal marriage and 
an alliance with Ramazan.</t>
  </si>
  <si>
    <t>As a colony, break free and vassalize your former overlord without forming 
any other nation.</t>
  </si>
  <si>
    <t>Get a ruler of your dynasty on the throne of Poland or the Commonwealth 
while they are an elective monarchy.</t>
  </si>
  <si>
    <t>Have a 75% Trade share in both the Alexandria and Constantinople nodes as 
Venice, owning less than 10 cities.</t>
  </si>
  <si>
    <t>Starting as Bohemia, make Hussite the official faith of the Empire and 
become the Emperor.</t>
  </si>
  <si>
    <t>As Busoga, Buganda or Karagwe, reach administrative, diplomatic and 
military technology level 32.</t>
  </si>
  <si>
    <t>As a New World native with Random New World active, explore the entire New 
World.</t>
  </si>
  <si>
    <t>As a Malagasy country, unite Madagascar and hold all the most southern 
provinces of the world.</t>
  </si>
  <si>
    <t>Have Winged Hussars as your active unit with more than +50% cavalry combat 
ability.</t>
  </si>
  <si>
    <t>As Ragusa, lead a Trade League of at least 5 nations and guarantee the 
Ottomans’ independence.</t>
  </si>
  <si>
    <t>Done?</t>
  </si>
  <si>
    <t>Y</t>
  </si>
  <si>
    <t>Georgia</t>
  </si>
  <si>
    <t>Holland</t>
  </si>
  <si>
    <t>Started with</t>
  </si>
  <si>
    <t>Mewar</t>
  </si>
  <si>
    <t>Kilwa</t>
  </si>
  <si>
    <t>Korea</t>
  </si>
  <si>
    <t>Hormuz</t>
  </si>
  <si>
    <t>Ayutthaya</t>
  </si>
  <si>
    <t>Switzerland</t>
  </si>
  <si>
    <t>Kongo</t>
  </si>
  <si>
    <t>Starting conditions</t>
  </si>
  <si>
    <t>Completion requirements</t>
  </si>
  <si>
    <t>- Is in a golden era
- Is an empire</t>
  </si>
  <si>
    <t>The golden era can be started on the first day of the next month after 
completing 3 objectives. Easily done as Ming. You begin as an empire, 
already have a 30-development capital, and have more than five centres of 
trade at the beginning, you just need to release five vassals and you can 
begin your golden era.</t>
  </si>
  <si>
    <t>- 
-</t>
  </si>
  <si>
    <t>Have *100%* mercantilism</t>
  </si>
  <si>
    <t>Easy to do as Aragon within 1-2 years. Move Aragon's capital (or main trade 
city, if you have Wealth of Nations) out of the Valencia trade node. Send a 
merchant to collect trade in Valencia. Then grant the Burghers the 
'Exclusive Trade Rights' privilege, that grants 3 immediate mercantilism. 
Without unpausing, recall your merchant from Valencia. Unpause, and the 
privilege will be revoked due to there not being a trade node where you own 
3 centers of trade and are collecting. The player can then send the 
merchant to Valencia again, give the privilege and recall the merchant. 
Repeat this process until 100% mercantilism is reached. Alternatively, this 
process can be done with any nation that has 3 centers of trade in any 
trade node and at least one province in a node that the nation does not own 
3 centers of trade. 
Some nations this method can be applied to at the 1444 start date include 
Castile, England, Tunis, Poland, Ming and Vijayanagar.</t>
  </si>
  <si>
    <t>- Is a Great power
- Has taken on 1000 ducats of another country's debt.</t>
  </si>
  <si>
    <t>Must be done in a single action</t>
  </si>
  <si>
    <t>-</t>
  </si>
  <si>
    <t>*Took all of an enemy nation's ducats in a peace deal, during the reign of 
a Greedy Ruler.*</t>
  </si>
  <si>
    <t>Can be achieved without being the warleader by having a Greedy ruler and 
the warleader taking all of a nation's ducats in a peace deal. The rulers 
of Amago, Cleves, Cologne, Hatakeyama, Isshiki, Khandesh, Lüneburg and Otomo 
are greedy at the start of the game.</t>
  </si>
  <si>
    <t>Won one war without fighting a single battle.</t>
  </si>
  <si>
    <t>Start as a neighbor of an OPM. Go to a total war with them and sign peace 
(break their alliances if needed and take all their money). Soon after 
declare another war (breaking the truce) and capture their undefended 
capital. Naval battles do not prevent the achievement.</t>
  </si>
  <si>
    <t>No restriction of the start date</t>
  </si>
  <si>
    <t>- Have an Admiral with a trait
- Have a General with a trait</t>
  </si>
  <si>
    <t>- Conquistadors and explorers do not count.
- Leaders gain traits at the end of battles with a chance based on the military 
tradition gain from that battle, which is based (in part) on the number 
of losses inflicted on the enemy. The Ottomans and France start with a 
general with a trait in 1444.</t>
  </si>
  <si>
    <t>Own and control a livestock-producing mountain province with a fort 
building and a supply depot</t>
  </si>
  <si>
    <t>Easily done as Mamluks or the Three Leagues, who start with a fort on a 
livestock producing mountain province and 10% army professionalism.</t>
  </si>
  <si>
    <t>- Playing as Bohemia
- *Not* using a random New World</t>
  </si>
  <si>
    <t>- At least two privileges are granted to the Clergy
- At least two privileges are granted to the Burghers
- At least two privileges are granted to the Nobility
- Land owned by the crown is at least 50%</t>
  </si>
  <si>
    <t>This can be done easily by starting as Bohemia and then releasing Moravia 
as a vassal and selecting the option to play as the released vassal. 
Afterwards, you'll have more than 80% Crown Land and now you can give 2 
privileges to each estate. Several of the privileges do not affect the size 
of the Crown Land which makes it easy to stay above 50.</t>
  </si>
  <si>
    <t>Is *not* defender of the faith</t>
  </si>
  <si>
    <t>Is defender of the faith</t>
  </si>
  <si>
    <t>Can be done immediately as Ottomans, just take out a few loans and claim 
the title.</t>
  </si>
  <si>
    <t>Has no personal unions</t>
  </si>
  <si>
    <t>Have 2 or more personal unions</t>
  </si>
  <si>
    <t>This does not mean inheriting two personal unions simultaneously, only that 
a country starting with no personal unions eventually holds two at the same 
time. Brandenburg gains a union over AI Ansbach by event when their 
starting heir succeeds to the throne, inheriting Ansbach's own union over 
Bayreuth. Muscovy can claim the thrones of Tver and Ryazan. Castile can get 
a union over Aragon and Naples if the Iberian Wedding occurs while Aragon 
maintained their union with Naples or got a union over Navarra from the 
event *“The Death of King Alfonso”*. Castile can also get a Restoration of 
Union CB against Portugal from their missions. Poland and Austria can get 
Restoration of Union CBs through events or missions (and Poland can 
reliably get a union with Lithuania by event).</t>
  </si>
  <si>
    <t>Have 3 estates with 70% influence</t>
  </si>
  <si>
    <t>Have diplomatically annexed a vassal.</t>
  </si>
  <si>
    <t>Start as Ayutthaya, then annex either of their vassals after 10 years. Also 
easy with Denmark which can annex its vassal Holstein.</t>
  </si>
  <si>
    <t>- No more than 1 custom nation exists in the world
- Used no more than 201 nation designer points</t>
  </si>
  <si>
    <t>- At least 10 neighbouring countries have the *“Scornfully Insulted”* 
opinion modifier towards you</t>
  </si>
  <si>
    <t>The 10 countries must all have the opinion modifier at the same time. 
Lithuania borders 11 nations at the start of game. Very easy in 1.32. Keep 
giving the burgers the Patronage of the Arts privilege then revoke it and 
give it again. Giving it three times puts you over 50 prestige. Then 
scornfully insult 10 of Lithuania's 11 neighbours.</t>
  </si>
  <si>
    <t>- Playing as a custom nation
- Only 1 custom nation exists in the world
- Used no more than 51 nation designer points</t>
  </si>
  <si>
    <t>- *Not* playing as a released vassal
- Has at least 2000 total development</t>
  </si>
  <si>
    <t>It is possible to create a custom nation with 2000 development with only 50 
points, although it is very tedious to do so. First, select a capital 
within Central Asia, be a duchy. Get the worst possible ruler, heir, and 
consort, and make them as young as possible. Then, you should pick the 
ideas that cost *negative points*, from most negative points to least (they 
are found under administrative ideas). You should be left with three idea 
slots, which you should fill with administrative ideas that cost no points. 
Finally, take all provinces with the lowest terrain multiplier until you 
have 2000 development. Avoid taking provinces with gold or trade bonuses, 
since they will cost more. 
Can also be paired with For Odin! and Ideas Guy</t>
  </si>
  <si>
    <t>- Have 3 vassals
- Have 2 marches</t>
  </si>
  <si>
    <t>Can be done immediately as Muscovy or Timurids. They start with 5 vassals 
in 1444; simply designate two as marches.</t>
  </si>
  <si>
    <t>Won a siege against a fort using a General with the Siege Specialist 
trait.</t>
  </si>
  <si>
    <t>Easily done as France as they begin with a siege specialist general.</t>
  </si>
  <si>
    <t>Playing as Sus</t>
  </si>
  <si>
    <t>- Is Sus
- Three countries fulfill the following conditions: 
- have a negative opinion of this country
- have the opinion modifier “*Did Covert Actions*” towards this 
country</t>
  </si>
  <si>
    <t>Being a subject of Morocco does not prevent you from spying on other 
countries and independence is therefore not required. You simply need to 
use your two diplomats to build spy network in any country. There is about 
an 85% chance three nations will discover your spies within the first ten 
years. If your relations with them are still positive, insult them. Before 
unpausing the game, search for the countries with starting rulers with 
Secretive personality which gives *+20%* foreign spy detection.</t>
  </si>
  <si>
    <t>- Playing as Castile
- *Not* using a random New World.
- Has not discovered both North America and South America</t>
  </si>
  <si>
    <t>Has discovered North America and South America</t>
  </si>
  <si>
    <t>Remove the terra incognita of 1 province in the continent of South America 
and 1 province in the continent of North America.</t>
  </si>
  <si>
    <t>Have *3,000* ducats in the treasury</t>
  </si>
  <si>
    <t>Easily done as a big nation by taking loans until reaching the target.</t>
  </si>
  <si>
    <t>- Start on *4 July 1776*
- Playing as United States
- *Not* using a random New World.</t>
  </si>
  <si>
    <t>- Not at war
- United States: Owns all core provinces</t>
  </si>
  <si>
    <t>Can be done easily by signing a peace treaty and accepting any demands. 
Then revoke all the cores of the provinces given away.</t>
  </si>
  <si>
    <t>- *Not* playing as a released vassal
- Is Croatia
- Station a unit of cavalry in Stockholm.</t>
  </si>
  <si>
    <t>Croatia doesn't actually have to be formed for the achievement. All you 
have to do to get this achievement is to start as Croatia, ask for military 
access from Sweden, load your starting cavalry regiment onto a transport, 
then sail up next to Stockholm and move your cavalry onto it.</t>
  </si>
  <si>
    <t>Have a march with at least two marsh provinces</t>
  </si>
  <si>
    <t>Easily done as Mushasha, simply release Basra and make them a march.</t>
  </si>
  <si>
    <t>Either 
- An army is led by a general with the player's Steam name
- Win a battle with a general with the player's Steam name
or 
- Has a leader named after one of the following VIPs - “DDRJake”, 
“Duplo”, “neondt”, “StarNaN”, “The French Paradox”, “Bus”, “Groogy”, 
“mikesc”, “PDJR_Alastorn”, “Ofaloaf”, “Caligula Caesar”, “Imse”, 
“KaiserJohan”, “Hawky”, “Johan”, “Pavía”, “Aldaron”, “SaintDaveUK”, 
“Gnivom”, “Big Boss”, “Comrade Flan”, “CzerstfyChlep”, “Pintu” or 
“Rossarness”</t>
  </si>
  <si>
    <t>Is only visible with the Cradle of Civilization, but can be completed 
without that DLC by editing the player's Steam name to match the name of a 
general. Or by creating a custom nation with a monarch with the exact name 
as the player's Steam name and make him a general and win a battle with 
him. Or by using “Caligula” as the first name and “Caesar” as the dynasty 
of a ruler in a custom nation (or one of the other two word names).</t>
  </si>
  <si>
    <t>- Playing as Portugal
- *Not* using a random New World</t>
  </si>
  <si>
    <t>Have an unfinished colony in both Brazil and in the continent of Africa</t>
  </si>
  <si>
    <t>Establish two colonies in Brazil and in Africa. Keep in mind the colonies 
need to be established, not finished, so this can be done extremely quickly 
after unlocking the first two exploration ideas.</t>
  </si>
  <si>
    <t>Has switched government type via a government reform</t>
  </si>
  <si>
    <t>Fastest as a tribal nation, as only 5 reforms are needed to change 
government type.</t>
  </si>
  <si>
    <t>Government type is *Steppe Nomads*</t>
  </si>
  <si>
    <t>- Is steppe nomad
- Razed a province of at least 30 development.</t>
  </si>
  <si>
    <t>The eligible provinces in 1444 are Nanjing (33), Beijing (31) and 
Constantinople after Ottoman conquest (34), although it is much easier to 
conquer a good province from a minor, develop it to 30, give it back, 
conquer again and finally raze it. The easiest way is to start as Uzbek, 
increase development in Qaraqalpak (440), release Khiva as vassal (one 
province), declare war and conquer the province. This can even be done 
without a war by giving a 30 dev province to a vassal an then seizing it. 
Uzbek can use Kypshak (476) for this, because it starts with 18 dev and 
then give it to Sibir, because they are easy to keep loyal.</t>
  </si>
  <si>
    <t>- Have a consort regency with a female consort
- Conquered land</t>
  </si>
  <si>
    <t>Have killed 10 000 men in one battle.</t>
  </si>
  <si>
    <t>- Does not have negative monthly income
- Have 3 allies that are subsidized at least 50%.</t>
  </si>
  <si>
    <t>The subsidies also count as income, so the subsidies have to be as high as 
the total income before the subsidies. The total income can be seen in the 
Income Comparison page in the ledger. The Country page doesn't show all 
income sources. 
Easily done as England with the Irish minors or as Austria with HRE OPMs.</t>
  </si>
  <si>
    <t>Has used artillery barrage on Berlin.</t>
  </si>
  <si>
    <t>As Brandenburg, wait until you have military technology 7. Recruit at least 
3 units of artillery, mothball the fort of Berlin then tank your legitimacy 
by dishineriting heirs and abdicating. Pretender rebels will siege it down, 
you can then attack and barrage it.</t>
  </si>
  <si>
    <t>Have conquered one new province.</t>
  </si>
  <si>
    <t>Army size isn't *99%* of maximum force limit</t>
  </si>
  <si>
    <t>Have an army size that is *99%* of maximum force limit</t>
  </si>
  <si>
    <t>This achievement is not awarded if the player plays a nation that already 
is at or is over its maximum force limit.</t>
  </si>
  <si>
    <t>Navy size isn't *99%* of maximum force limit</t>
  </si>
  <si>
    <t>Have a navy size that is *99%* of maximum force limit</t>
  </si>
  <si>
    <t>Have acquired a province through threatening war.</t>
  </si>
  <si>
    <t>Easily done as Ming after fabricating a claim on either Kham or Korchin.</t>
  </si>
  <si>
    <t>Primary culture is *Iroquois*</t>
  </si>
  <si>
    <t>- *Not* playing as a released vassal
- Primary culture is *Iroquois*
- Is leader of a federation with six nations in it</t>
  </si>
  <si>
    <t>Easily done as Onondaga by inviting a nation to your federation on day one.</t>
  </si>
  <si>
    <t>- Is Protestant
- Have 3 aspects of faith</t>
  </si>
  <si>
    <t>Bohemia, the nations in the British Isles and those in Scandinavia start in 
a great position for this achievement.</t>
  </si>
  <si>
    <t>Religious group is *Eastern* or government type is *Steppe Nomads*.</t>
  </si>
  <si>
    <t>Has 3 Tributary States with government type tribal*or*native</t>
  </si>
  <si>
    <t>Easily done as Ming at the start of the campaign. Simply loading up an 
ironman campaign of Ming will immediately grant the achievement, as they 
meet the requirements on 11 November 1444. The possible first government 
reforms include, but are not limited to: *Steppe Nomads*, *Tribal Despotism*, 
*Tribal Monarchy*, *Tribal Federation*, *Tribal Democracy*, and *Siberian 
Clan Council*. The government type mapmode can be used to identify 
countries of the correct government type.</t>
  </si>
  <si>
    <t>Stole a map from another country.</t>
  </si>
  <si>
    <t>Have less than 2 controlled cardinals</t>
  </si>
  <si>
    <t>Have 3 or more controlled cardinals</t>
  </si>
  <si>
    <t>The achievement only triggers if the number of player controlled cardinals 
is greater than or equal to (≥) 3. If the player starts with 2 or more 
cardinals the achievement will not be awarded. Easily done as Spain. Can be 
done immediately by starting as the Papal States and bribing 3 cardinals 
into your lands.</t>
  </si>
  <si>
    <t>Starting ruler has less than *5* skill in any category</t>
  </si>
  <si>
    <t>Have a ruler that has at least *5* skill in every category</t>
  </si>
  <si>
    <t>Easiest way to obtain this achievement is starting with Poland and appoint 
a local noble ruler for the event. 
Alternatively, start as a republic and re-elect 4 times.</t>
  </si>
  <si>
    <t>Is *not* in a royal marriage</t>
  </si>
  <si>
    <t>Have a royal marriage</t>
  </si>
  <si>
    <t>Note that it won't trigger if the player already has one or more royal 
marriages at game start.</t>
  </si>
  <si>
    <t>Has won a war.</t>
  </si>
  <si>
    <t>Win a war as the main participant.</t>
  </si>
  <si>
    <t>- No more than 1 custom nation exists in the world
- Used no more than 201 nation designer points if playing as a custom 
nation</t>
  </si>
  <si>
    <t>At least 100 countries are members of the Holy Roman Empire</t>
  </si>
  <si>
    <t>Create a custom nation with your capital in the HRE (you could go for 
Triest) and give yourself provinces with releasable tags within and 
adjacent to the empire. Add all provinces to the empire and release all 
tags to instantly unlock the achievement. 
Possible provinces are Dauphiné, Narbonnais, Rouergue, Auvergne, Castellón, 
Mallorca, Girona, Sasser, Corsica, Parma, Modena, Spoleto, Perugia, Bari, 
Friuli, Padova, Spalato, Corfu, Arta, Atene, Nasso, Rhodes, Creta, Sugla, 
Lienz, Unterkärnten, Hradiste, Ruppin, Rügen, Trencsén and Dolní Lužice.</t>
  </si>
  <si>
    <t>Own 10 Gold provinces</t>
  </si>
  <si>
    <t>In 1444, the Niger region has 3, the South Africa and East Africa regions 
have 5, the Peru and Upper Peru regions have 6, and the Mexico region has 
10, so it is easiest as a nation like Aztec. Does not require provinces to 
be cored. Provinces owned by colonial nations do *not* count (but playing 
as a released colonial nation does). 
All pre-determined gold provinces</t>
  </si>
  <si>
    <t>Have 100 absolutism</t>
  </si>
  <si>
    <t>- Sweden and Prussia have events to increase their maximum absolutism. 
France, Portugal, Sweden, and Russia have events, decisions, or ideas 
that give yearly absolutism gain.
Every monarchy can achieve this with the base of 60 + 15 from 100% 
crownland + 25 from the three relevant government reforms.</t>
  </si>
  <si>
    <t>Playing as Mali</t>
  </si>
  <si>
    <t>Have 4 colonial nations based in the continent of South America</t>
  </si>
  <si>
    <t>All 4 colonies must have their capital on the South American continent. 
Colonial Colombia is partially in South America and North America and 
colonizing the NA lands may result in their capital being in NA.</t>
  </si>
  <si>
    <t>Easiest to do as Ming.</t>
  </si>
  <si>
    <t>Primary culture is either *Muscovite*, *Ryazanian* or *Novgorodian*</t>
  </si>
  <si>
    <t>Is Russia</t>
  </si>
  <si>
    <t>Easiest to do as Muscovy.</t>
  </si>
  <si>
    <t>- *Not* as a released vassal.
- Is Great Britain
- Own and have cores on the London, East Midlands, West Midlands, East 
Anglia, Wessex, and Yorkshire areas with each province having at least 25 
development. (The Northern England area is not needed.)</t>
  </si>
  <si>
    <t>*Not* using a random New World.</t>
  </si>
  <si>
    <t>Own a province in each of the 6 continents.</t>
  </si>
  <si>
    <t>The continents are: Europe, Asia, Africa, North America, South America and 
Oceania. Most easily done as Spain or Portugal, as they can colonize 
faster.</t>
  </si>
  <si>
    <t>Playing as France</t>
  </si>
  <si>
    <t>All cored provinces are owned by France</t>
  </si>
  <si>
    <t>Aside from reconquest, can also be done by revoking the cores from 
non-owned provinces</t>
  </si>
  <si>
    <t>Playing as Qara Qoyunlu</t>
  </si>
  <si>
    <t>Be production leader of wool</t>
  </si>
  <si>
    <t>You start with 5 wool-producing provinces. Focus solely on accumulating 
diplomatic points to develop them. Can be done before 1450. 
Alternatively, annexing Bitlis with 3 additional provinces will reduce the 
amount of developing needed (note that annexation can start as early as 
1445 in this case). Annexing neighbouring OPM Hisn Kayfa also helps, as 
they produce wool.</t>
  </si>
  <si>
    <t>Has 21 different subjects with more than 5 cities and less than 50% liberty 
desire</t>
  </si>
  <si>
    <t>Can be easily achieved with Tributary states as the Chinese Emperor with 
the Mandate of Heaven DLC or Ashikaga with its daimyos. 
Can also be achieved by conquering swathes of low-development land and 
releasing client states.</t>
  </si>
  <si>
    <t>Blockade at least 10 enemy ports at the same time.</t>
  </si>
  <si>
    <t>Easily done as the Ottomans with the Mamluks at the start of the campaign.</t>
  </si>
  <si>
    <t>- Is Tengri
- Syncretic faith is Nahuatl</t>
  </si>
  <si>
    <t>Start as a Jurchen tribe and choose Exploration ideas first. Conquer Eastern 
Siberia for colonial range to North America and colony-hop to Mesoamerica. 
Do *not* form Qing.</t>
  </si>
  <si>
    <t>Playing as Denmark</t>
  </si>
  <si>
    <t>- Has enacted the Unified Kalmar Monarchy government reform
- Own and core all provinces in the Scandinavia region</t>
  </si>
  <si>
    <t>Make sure that you always have at least one junior partner in Scandinavia, 
because otherwise you will lose the starting reform Kalmar Union, because 
you can only get the reform Unified Kalmar Monarchy by completing the 
mission Ratify the Kalmar Union while having the reform Kalmar Union.</t>
  </si>
  <si>
    <t>- Have 50 Innovativeness</t>
  </si>
  <si>
    <t>Starting as Florence, only focus on technology and ideas, accept all events 
that give innovativeness and always choose the same leader during election, 
can be done before 1550.</t>
  </si>
  <si>
    <t>Won a war without being the war leader.</t>
  </si>
  <si>
    <t>- *Not* playing as a released vassal
- Own a Protestant center of reformation
- Own a Reformed center of reformation</t>
  </si>
  <si>
    <t>A random event creates the first Center of Reformation for each 
denomination. After that, the next two nations in Europe to convert have a 
random province designated as a Center of Reformation. Alternatively be on 
the first two to convert to Protestantism, and when you have a new monarch 
and Reformed has spawned, convert to Reformed.</t>
  </si>
  <si>
    <t>- Have six different consorts</t>
  </si>
  <si>
    <t>As an Anglican nation, (a) Divorce Consort every 100 church power, then 
wait for a new consort; (b) royal marriage with another nation; or (c) 
press "Marry a local Noblewoman" button in religious panel. Cycle through 
the options five times. Disinherit the heir if necessary. Easily doable if 
the ruler is young.</t>
  </si>
  <si>
    <t>Primary culture is *Pueblo*</t>
  </si>
  <si>
    <t>Own 7 provinces with at least 10 development each</t>
  </si>
  <si>
    <t>Need to reform your nation before you are able to manually develop 
provinces. Use Settle down reform to be able to own more then one province 
and settle tribal development into your provinces.</t>
  </si>
  <si>
    <t>Own and have core a city with at least 60 development</t>
  </si>
  <si>
    <t>Easiest to do as the Ottomans with Constantinople.</t>
  </si>
  <si>
    <t>Appoint 3 colonial governors holding office in your colonies at the same 
time</t>
  </si>
  <si>
    <t>*“Replace Governor”* is a subject action you may perform on your crown 
colonies.</t>
  </si>
  <si>
    <t>- Is Georgia
- No owned provinces have a free building slot</t>
  </si>
  <si>
    <t>Playing or starting as Imereti is not required anymore. 
Can be done by filling the capital with buildings and then giving all other 
provinces to vassals. The capital Tbilisi starts with 3 building slots, so 
it may be preferable to move the capital to one of the Western provinces 
since they have only 2 available buildings slots, making it possible to 
fill with just a church and a marketplace (100 100 ducats each) at tech 4 
in admin/dip. 
Can also be achieved by being fully annexed. Simply declare No-CB wars on 
your neighbors and surrender until you cease existing.</t>
  </si>
  <si>
    <t>- Is *not* in a regency
- Have a ruler that: 
- Has less than *2* in every Monarch power
- Has reached the age of 70 years</t>
  </si>
  <si>
    <t>Mali's and Kanem Bornu's rulers are eligible. Very easy in 1.22 or earlier 
with Timurids' 67 year old ruler. Karaman starts out with 1/0/0 leader and 
0/0/1 heir that can also work.</t>
  </si>
  <si>
    <t>Playing as Dai Viet</t>
  </si>
  <si>
    <t>- The year is before 1500
- At least 10 nations follow the Mahayana faith</t>
  </si>
  <si>
    <t>- Note that the player's country itself does count.
- Pahang and Pangasinan already start as Mahayana and Dai Viet itself 
also counts, effectively bringing down the requirement to 7, and the 
Philippine islands are an excellent place to start forcing conversions.</t>
  </si>
  <si>
    <t>Easily done as one of the nations located in proximity to the region. 
Establish a colony on any province of the Australian coastline (no need to 
finish the colony). Taking someone's colony in Australia when signing peace 
or conquering natives won't earn the achievement.</t>
  </si>
  <si>
    <t>- Capture 20 boats
- Have the Boarding naval doctrine</t>
  </si>
  <si>
    <t>Have 100 regiments at *100%* Army Drill</t>
  </si>
  <si>
    <t>Easy as Ming; just go slightly over force limit and drill for ten years.</t>
  </si>
  <si>
    <t>Does not start as an elector of the Holy Roman Empire</t>
  </si>
  <si>
    <t>- *Not* playing as a released vassal
- Become an elector of the Holy Roman Empire</t>
  </si>
  <si>
    <t>Most easily done as Austria via the Usurp the Electorate decision after 
taking Bohemia as a junior partner. Other HRE members can request the 
electorate either with money or by being allied to and having excellent 
relations with the Emperor. Another possibility is to inherit (not 
integrate!) an elector (e.g. as Austria or Hungary, who can both get a 
personal union over Bohemia) at which point the electorate will pass to the 
inheriting partner.</t>
  </si>
  <si>
    <t>Playing as Sindh</t>
  </si>
  <si>
    <t>- Is Sindh
- Religion is in Christian group</t>
  </si>
  <si>
    <t>The island Suqutra is the nearest Christian province and can be easily 
conquered from its owner Mahra, who will normally ally your neighbor 
Baluchistan. Sell your province Umarkot to a neighboring country (since 
Baluchistan does not want it) and declare war on them with your reconquest 
casus belli. Then, head to Mahra to eliminate their armies and siege their 
provinces until they will accept giving you Suqutra in a separate peace 
deal (you do not need to land any troops on the island for it to be 
selectable). Next, give Baluchistan all of your mainland provinces in a 
peace deal and declare bankruptcy. Since you are an OPM on a Coptic 
province, this will convert you to Coptic and grant the achievement.</t>
  </si>
  <si>
    <t>Control 4 strong trade companies</t>
  </si>
  <si>
    <t>A trade company must control at least 51% of the *provincial* trade power 
in its node for it to be a "strong" company and give you an extra merchant. 
Far easier since 1.30, as trade companies can now be made in all regions 
not your own that aren't colonial regions, including European regions.</t>
  </si>
  <si>
    <t>*Not* using a random New World</t>
  </si>
  <si>
    <t>- Religion is *not* Catholic or Sunni
- Is defender of the faith of tier 5</t>
  </si>
  <si>
    <t>Easiest to do as a HRE member state such as Holland. Convert to 
Protestantism as soon as possible. The amount of HRE minors who will 
convert should minimise the amount of player involvement. If necessary, 
declare war on smaller European nations and use the "Force Religion" option 
in the peace deal. Colonial nations also contribute to the rank of Defender 
of the Faith. 
The achievement is hidden without the Emperor DLC, but it is possible to 
get the achievement without the DLC, by having 50+ nations following the 
faith you are defender of.</t>
  </si>
  <si>
    <t>Be a part of a coalition with 6 or more members</t>
  </si>
  <si>
    <t>Most easily achieved as Ming by cancelling the tributary status of 
whichever Southeast Asian state has been expanding the most. You still get 
the achievement for joining after the war has started, since you'll need to 
wait for the truce to expire.</t>
  </si>
  <si>
    <t>Government rank is Duchy</t>
  </si>
  <si>
    <t>- Government rank is Duchy
- Has at least 1000 development</t>
  </si>
  <si>
    <t>Muscovy is the largest duchy in 1444, though Lithuania could also work 
well. The most important thing is to remember *not* to upgrade or form a 
nation (like Russia or Commonwealth) that gives a higher government rank as 
you'll become ineligible for the achievement. 
Another way to do this is to start as a duchy in the HRE. You can become 
the Emperor and still be eligible for the achievement. You just need to 
lose the emperorship, which returns you to duchy rank. This method allows 
you to expand with the governing capacity of an empire, which makes this 
achievement trivial.</t>
  </si>
  <si>
    <t>- Is in the Muslim religious group
- Is Defender of the Faith
- Propagated Religion in 5 provinces in the Moluccas trade node</t>
  </si>
  <si>
    <t>You are required to be Defender of the Faith when the conversion of each 
province finishes.</t>
  </si>
  <si>
    <t>- Is The Papal State*or* is the emperor of the Holy Roman Empire
- Catholic is the dominant faith of the Holy Roman Empire
- The Holy Roman Empire has an official, unchangeable faith
- The Papal State is an elector</t>
  </si>
  <si>
    <t>You can start as Austria, and full annex The Papal State. When The Papal 
State is given a province in the empire, you can grant them elector status. 
Note that passing the Proclaim Erbkaisertum reform before Catholicism is 
the official faith of the HRE will enact the Peace of Westphalia, 
preventing this achievement.</t>
  </si>
  <si>
    <t>- *Not* playing as a released vassal
- Is Spain
- Have colonial nations in Mexico, Panama, Havana, and Cuzco.</t>
  </si>
  <si>
    <t>Have Patriarch Authority of *100%*</t>
  </si>
  <si>
    <t>Constantinople and Kiev have monuments which give yearly patriarch 
authority</t>
  </si>
  <si>
    <t>Defeated an enemy leader with 3 stars.</t>
  </si>
  <si>
    <t>Easily done as the Ottomans attacking Albania at the start of the campaign.</t>
  </si>
  <si>
    <t>Is year 1820</t>
  </si>
  <si>
    <t>Used the covert action Corrupt Officials against a rival country.</t>
  </si>
  <si>
    <t>Playing as Ming</t>
  </si>
  <si>
    <t>- *Not* playing as a released vassal
- Have a subject nation in the 5 religious groups Christian, Muslim, 
Eastern, Dharmic and Pagan</t>
  </si>
  <si>
    <t>- The Jewish and Zoroastrian groups are *not* needed.
- No CB War against Mikhlaf in Arabia, vassalize them in the peace deal. 
Ally a neighbour (Yemen or Hormuz can be a good choice), ask for maps of 
the horn of Africa and then establish one of the Coptic minors as a 
tributary or vassal. Medri Bahri can be a good choice. Proclaim a Guarantee 
to protect them while you improve relations.</t>
  </si>
  <si>
    <t>- Be Theravada, Vajrayana, or Mahayana.
- Own a core province in the region Mexico.</t>
  </si>
  <si>
    <t>An interesting choice is Ayutthaya. Start by choosing exploration ideas, 
colonize the islands in Indonesia, followed by the Marshall Islands, and 
Midway. Then focus on North America, and most likely you can colonize 
Sinaloa, which is the easiest path for this achievement.</t>
  </si>
  <si>
    <t>Playing as Norway</t>
  </si>
  <si>
    <t>- *Not* playing as a released vassal
- Capital is in the Canada region
- Owns no province in the Scandinavia region</t>
  </si>
  <si>
    <t>Forming countries is allowed, but playing as a released colonial nation or 
switching to a different country is not allowed. The easiest way to be rid 
of provinces in Europe is to release Sápmi and Iceland as subjects, giving 
them all other provinces in Europe other than your capital. At that point, 
moving your capital into America is allowed, and then giving away the last 
European province should complete the achievement.</t>
  </si>
  <si>
    <t>Culture group is *Japanese*</t>
  </si>
  <si>
    <t>- The year is before 1655
- Is Japan
- Has embraced the Manufactories institution</t>
  </si>
  <si>
    <t>Colonize the west coast of America as soon as possible to gain Colonialism. 
Do not enforce Sakoku when the option presents itself, since that will make 
it harder to get Global Trade.</t>
  </si>
  <si>
    <t>- *Not* playing as a released vassal
- Is the first to circumnavigate the World.</t>
  </si>
  <si>
    <t>Colonize along the route as much as possible, or get fleet basing rights. 
Fully-repaired ships can be stationed along the way to join the explorer's 
fleet before he moves to the next sea tile. If the fleet stops to repair, 
ships can also be sent to augment it while it is in port. How long the AI 
takes to circumnavigate varies from game to game.</t>
  </si>
  <si>
    <t>- Playing as Mewar</t>
  </si>
  <si>
    <t>Has at least 20 Rajput regiments</t>
  </si>
  <si>
    <t>See Rajput regiment and Special unit force limit for ways to get more 
Rajput regiments. Forming another country such as Rajputana does not 
prevent the achievement, but the formed country will still need to have 
access to the Rajputs estate.</t>
  </si>
  <si>
    <t>- Four different religions in court
- Four different cultures in court</t>
  </si>
  <si>
    <t>Spawned advisors take the culture and religion of a random held province. 
Easy as Ming: dismiss advisors until you have one Theravada, one Animist, 
and one Vajrayana advisor. Release nations to increase the proportion of 
your provinces which have one of the remaining religions.</t>
  </si>
  <si>
    <t>Help a rebel faction win a war against another country</t>
  </si>
  <si>
    <t>Can be completed at the same time as the Viva la Revolución! achievement.</t>
  </si>
  <si>
    <t>Have 100 point spy networks in 3 rival nations</t>
  </si>
  <si>
    <t>Hard to get with Mare Nostrum enabled since AI will use counter-espionage 
against rivals. 
A slow but easy method involves starting as a nation with at least 3 
diplomats, building the spy networks in your rival nations and waiting 
until you get the achievement or annexed.</t>
  </si>
  <si>
    <t>Playing as Songhai</t>
  </si>
  <si>
    <t>Own and core the province of Timbuktu</t>
  </si>
  <si>
    <t>Can be done swiftly by declaring a no-casus belli war a month from the 
start of the game, before any alliances are made. Hiring a handful of 
mercenaries will help with the conquest, whereas hiring an administrative 
advisor and changing the national focus to administrative will help to core 
the province sooner.</t>
  </si>
  <si>
    <t>- Playing as Aztec
- *Not* using a random New World</t>
  </si>
  <si>
    <t>- *Not* playing as a released vassal
- Reach 95 Doom, then survive for 20 years without hitting 100 Doom. Had 
the flag *doom_reached_95* for 20 years *and* do not have flag 
*doom_reached_100*</t>
  </si>
  <si>
    <t>It is not required to keep doom between 95 and 100 for 20 years, but make 
sure you are at 95 doom at least once when a month tick happens so the 
countdown actually starts. Doom may drop below 95 at any time. Passing 
religious reforms (except the Reform Religion button, which disables doom) 
will also not prevent the achievement. Changing religion (e.g. to mayan or 
animist) after hitting 95 doom will also not prevent the achievement.</t>
  </si>
  <si>
    <t>- Is monarchy
- Is *not* in a regency
- Have the same dynasty as 8 other non-client state nations</t>
  </si>
  <si>
    <t>Can be easily done as Ming. Release 8 nations as vassals (make sure you 
pick nations that will have an eastern religion) and use the *Place 
Relative on Throne*Subject interaction.</t>
  </si>
  <si>
    <t>Playing as Poland</t>
  </si>
  <si>
    <t>- *Not* playing as a released vassal
- Is a monarchy
- Have 50 absolutism
- Has *not* enacted one of the following government reforms: 
- ‘Elective Monarchy’
- ‘Great Sejm’
- ‘Polish Elective Monarchy’</t>
  </si>
  <si>
    <t>Playing as England</t>
  </si>
  <si>
    <t>- Is England, Great Britain, *or* the Angevin Kingdom
- Own and core Paris</t>
  </si>
  <si>
    <t>- Has at least 50% trade power from privateers in the Gujarat trade node</t>
  </si>
  <si>
    <t>One of 
- 
- 
- 
-</t>
  </si>
  <si>
    <t>Playing as Riga</t>
  </si>
  <si>
    <t>- Has enacted the Salvific Plutocracy government reform
- Raided the province Roma (118) with the peace term *“Raid Heretic 
Churches”*</t>
  </si>
  <si>
    <t>*“Raid Heretic Churches”* always selects Roma (118) as long as it has a 
Church or Cathedral. You need to convert to another Christian religion to 
enact Salvific Plutocracy. *“Raid Heretic Churches”* can also be chosen for 
secondary war participants.</t>
  </si>
  <si>
    <t>Playing as Kilwa</t>
  </si>
  <si>
    <t>- Is Kilwa
- Own and core Zanzibar and Thana.</t>
  </si>
  <si>
    <t>- Since Kilwa starts with Zanzibar, essentially the goal is to expand to 
Thana on the west coast of India which is owned by Gujarat at the start of 
the game. If you form any nation, you will be ineligible for the 
achievement.
- Much easier with the Dharma expansion, as you can simply charter Thana 
off its owner.</t>
  </si>
  <si>
    <t>Culture group is *East Slavic*</t>
  </si>
  <si>
    <t>- Year is before 1601
- Own all port provinces in the *East Siberia* region
These provinces are Kamchatka, Penzhina, Kagyrgyn, Gizhiga, Tauisk, Okhotsk 
and Jugjur.</t>
  </si>
  <si>
    <t>- Note that it is not necessary to core the provinces. Even unfinished 
colonies count.
- This achievement is pretty easy to reach as Muscovy and you can finish 
it 40 to 50 years before the deadline. It is recommended to form Russia 
and take advantage of their Siberian Frontier idea, helping idea groups 
like exploration and expansion will then be optional. But a colonist from 
these groups can be used to start colonies if the time runs out and one of 
the Siberian ports has already been cored or fully colonized.</t>
  </si>
  <si>
    <t>- Have *100* prestige
- Have *100* legitimacy
- Have *+3* stability</t>
  </si>
  <si>
    <t>- Fight battles and explore terra incognita to increase prestige.
- Maintain positive stability, have heirs with strong claim and control 
the amount of royal marriages to increase legitimacy.
- Wait for stability improving events and invest administrative points 
to increase stability.
- Easy to achieve as Russia. The decision *“Make St. Petersburg the 
Capital”* gives the player *100* prestige, which fulfills the most 
difficult requirement if the player had non-negative prestige.
- Having a level 3 advisor or higher will eventually cause an event to 
trigger that will let the player choose to gain *50* prestige.</t>
  </si>
  <si>
    <t>Have installed a union in a succession war.</t>
  </si>
  <si>
    <t>- Win a war with the "Claim on Throne" or "Restore Union" casus belli. 
The former is used in succession wars. Only requires winning a war with the 
right CB; the peace deal does not actually need to force a union.
- Easily done as Muscovy against Ryazan, or against Tver with a claim on 
throne.</t>
  </si>
  <si>
    <t>Playing as Butua</t>
  </si>
  <si>
    <t>- Own all provinces in the following areas: 
- Butua
- Lower Zambezi
- Zimbabwe</t>
  </si>
  <si>
    <t>Easy only with Conquest of Paradise or El Dorado DLC. Starting in 1444 you 
can always get Kilwa (and at least one of these: Tumbuka, Maravi, Makua) to 
support your independence. Declare war ASAP and boost your gold production. 
Without either of these DLCs, you're on your own. Save up money and build 
an army when Mutapa has started integrating you.</t>
  </si>
  <si>
    <t>- Religion is Jewish
- The church aspect “*Jewish Community*” is active
- All provinces in the Egypt region are Jewish</t>
  </si>
  <si>
    <t>Easiest to do as Mamluks. Conquer Semien (and Dembiya) in Ethiopia and 
immediately send a missionary with 0 maintenance to switch the rebels to 
Jewish Zealots (before the previous rebel type in the province has reached 
30% progress). Let the rebels spawn and let them convert the country. Once 
Jewish has become the dominant religion, the rebel demands will also 
include to change the state religion. Then the demands can be accepted, but 
it might be beneficial to let them convert more provinces. After becoming 
Jewish, finish converting Egypt and choose Jewish Community as your first 
aspect.</t>
  </si>
  <si>
    <t>- *Not* playing as any end-game nation</t>
  </si>
  <si>
    <t>- Is Punjab
- Religion is Sikh</t>
  </si>
  <si>
    <t>Aside from forming Punjab, releasing Punjab as a vassal and playing it and 
converting to Sikh is also possible.</t>
  </si>
  <si>
    <t>Playing as Hormuz</t>
  </si>
  <si>
    <t>- *Not* playing as a released vassal
- Is Hormuz
- Has at least 10 diplomatic reputation</t>
  </si>
  <si>
    <t>Diplomatic reputation is gained from Hormuz ideas and completing missions. 
Easier since 1.24 since one of Islam's taxation policies gives +1 
Diplomatic reputation.</t>
  </si>
  <si>
    <t>- *Not* using a random New World
- Playing as Hawai'i, Maui, O'ahu*or*Kaua'i</t>
  </si>
  <si>
    <t>Is USA</t>
  </si>
  <si>
    <t>It is advised to not colonise the nearby islands in your region. To form USA 
you need to move your capital to the Colonial Eastern America region, and 
to be able to do that you will need to move your capital. This can be done 
if it's the only province in a state, i,e, Hawaii. Consider releasing 
vassals in your home islands to achieve this.</t>
  </si>
  <si>
    <t>- Is Mughals
- Has the Mughal Diwan government reform
- Have Mongol as accepted culture</t>
  </si>
  <si>
    <t>Easiest by starting as the Timurids. Forming the Mughals should not be a 
problem as long as you keep your vassals loyal and conquer Delhi. After 
that you should carve your way up to the Mongolian culture area. Fabricate 
claims along the way and conquer the provinces needed to reach that area. 
Usually you can start by declaring war on Uzbek, followed by Oirat. The 
factions controlling those provinces differ from campaign to campaign. In 
order to assimilate you need to conquer ALL Mongolian culture provinces. 
With the Winds of Change DLC mission tree, staying as Timurids is advise to 
use their bonuses and permanent claim on the mongol region.</t>
  </si>
  <si>
    <t>Has successfully used the Charter Trade Company diplomatic interaction to 
buy a province in India.</t>
  </si>
  <si>
    <t>Chartering a province from outside India proper will *not* grant the 
achievement (e.g. buying the Maldives from Vijayanagar), but chartering a 
province in India from a country which has it's capital somewhere else 
works.</t>
  </si>
  <si>
    <t>Not playing as Austria</t>
  </si>
  <si>
    <t>Is emperor of the Holy Roman Empire</t>
  </si>
  <si>
    <t>Become emperor of the Holy Roman Empire. Austrian players already start as 
the emperor so they won't get the achievement. Easiest to do as Bohemia.</t>
  </si>
  <si>
    <t>have 5 colonial nations</t>
  </si>
  <si>
    <t>- *Not* using a random New World</t>
  </si>
  <si>
    <t>- Has a Crown Colony
- Has a Self-Governing Colony
- Has a Private Enterprise</t>
  </si>
  <si>
    <t>Does not have a female heir</t>
  </si>
  <si>
    <t>- *Not* playing as a released vassal
- Capital has Castle
- Have a female heir</t>
  </si>
  <si>
    <t>Easily done as Castile by waiting for the Iberian wedding event while not 
upgrading or deleting the capital fort. Note that most Muslim countries 
cannot get female heirs, and those that can have a very low probability of 
getting one.</t>
  </si>
  <si>
    <t>- *Not* playing as a released vassal
- Is Malaya</t>
  </si>
  <si>
    <t>Easiest as Malacca or Pasai.</t>
  </si>
  <si>
    <t>Join a war against a nation that you hire out condottieri to. Have the 
country flag *white_company*</t>
  </si>
  <si>
    <t>As you don't have to accept a call to arms for a few months the easiest way 
to do this is when one of your allies asks you to join a war, first rent 
out condottieri to one of their enemies in the war then accept the call to 
arms.</t>
  </si>
  <si>
    <t>- Playing as Bone
- *Not* using a random New World</t>
  </si>
  <si>
    <t>- Is Bone
- Has used the pillage capital peace term at least 7 times</t>
  </si>
  <si>
    <t>Capital is in Europe</t>
  </si>
  <si>
    <t>Own and core the provinces of Aden, Hormuz and Malacca</t>
  </si>
  <si>
    <t>Note that nations such as Ottomans, Kazan and Great Horde are considered as 
European countries.</t>
  </si>
  <si>
    <t>- Playing as a former colonial nation
- Vassalize the former owner of the colonial nation</t>
  </si>
  <si>
    <t>- Forming another country as the colonial nation *will* prevent this 
achievement even if that country is a colonial formable like USA or 
Australia.
- Easily done as Ternate. Colonize Australia to the point where a 
colonial nation forms. Release them and select 'Play As', then vassalize 
your former overlord.</t>
  </si>
  <si>
    <t>- *Not* playing as a released vassal
- Have embraced all institutions</t>
  </si>
  <si>
    <t>Much faster in pre-1.17 patches, where the requirement is westernizing, 
which can be done by around 1520 instead of waiting until 1750 for the 
institutions to appear.</t>
  </si>
  <si>
    <t>Not playing as Poland</t>
  </si>
  <si>
    <t>- *Not* playing as a released vassal
- Poland or the Commonwealth has a ruler that is of your dynasty and was 
acquired via the elective monarchy.</t>
  </si>
  <si>
    <t>Once Poland enables elective monarchy countries of the same religion can 
support candidates to their throne via diplomatic action. High diplomatic 
reputation and good relations with Poland increase the likelihood gaining 
support. 
If Poland chooses a local noble instead of the PU with Lithuania it won't 
get an elective monarchy, making this achievement impossible.</t>
  </si>
  <si>
    <t>Have supported rebels in another country that enforced their demands.</t>
  </si>
  <si>
    <t>Possible to do as Tondo, as neighbouring Pangasinan starts with a single 
province of a heathen religion. Immediately rival them and declare an 
offensive war using the Humiliate Rival CB. Sit on their capital to 
increase their war exhaustion until you can support the Animist rebels. 
When an uprising is about to take place, white peace. The rebels will 
enforce their demands as soon as they take the province.</t>
  </si>
  <si>
    <t>Pass 11 parliament issues in a row</t>
  </si>
  <si>
    <t>England, Navarra, Poland, and Scotland start with a parliament in 1444.</t>
  </si>
  <si>
    <t>- Government type is *Native*
- Capital is in the New World
- Is using a random New World
- No more than 1 custom nation exists in the world
- Used no more than 201 nation designer points if playing as a custom 
nation</t>
  </si>
  <si>
    <t>Has discovered all provinces in the New World.</t>
  </si>
  <si>
    <t>Eligible countries show “Tribe” as the government in the nation selection 
screen or are custom nations with one of the government reforms in the 
“Native” category 
Sometimes a random world is generated where all of the land is already 
discovered by most native nations, one only needs to unpause in order to 
get the achievement</t>
  </si>
  <si>
    <t>- Have Winged Hussars as your primary cavalry unit
- Have a cavalry combat ability of at least 50%</t>
  </si>
  <si>
    <t>- Winged Hussars cavalry unit is part of the Eastern technology group 
(military tech level 22). For details on cavalry combat ability see the 
article on Land units.
- Poland is the easiest nation to play for this achievement due to the 
cavalry combat ability in their national ideas. Taking Aristocratic and 
Quality ideas will give Poland enough combat ability to satisfy this 
achievement.</t>
  </si>
  <si>
    <t>Discover all terra incognita.</t>
  </si>
  <si>
    <t>You do not have to discover all Terra Incognita yourself, as TI can be 
automatically uncovered via spread of discovery. The condition is simply 
that no TI exists in the world for you, not including sea zones. Wastelands 
are not needed. Easiest in Europe. With Mare Nostrum DLC, a good way to 
find the last few is to check the Request to share maps diplomatic action 
on colonizers or anybody else.</t>
  </si>
  <si>
    <t>Has expelled 5 different minorities to colonial provinces.</t>
  </si>
  <si>
    <t>- *Not* playing as a released vassal
- Is Prussia
- Have 125% discipline</t>
  </si>
  <si>
    <t>The following actions can increase Prussian discipline: 
- Increasing Militarization of Country (maximum *+10%*)
- Increasing Absolutism (maximum *+5%*)
- Completing Quality Ideas (*+5%*)
- Unlocking “Esprit de Corps” in Offensive ideas (*+5%*)
- Economic-Quality policy “Weapon Quality Standards” (*+5%*)
- Unlocking the Prussian ambition (*+5%*)
- Having a Commandant advisor (*+5%*)
- Having a ruler with the “Strict” personality (*+5%*)
- Converting to Protestantism and obtaining the Aspect of Faith “Holy 
Sacraments” (*+2.5%*)</t>
  </si>
  <si>
    <t>Playing as *either*: 
- Bahmanis
- Vijayanagar</t>
  </si>
  <si>
    <t>- Own and core the provinces Bidar (1948) and Vijayanagar (541)
- Is *either*: 
- Bahmanis and Vijayanagar doesn't exist
- Vijayanagar and Bahmanis doesn't exist</t>
  </si>
  <si>
    <t>- Complete one of the following mission trees: 
- Austrian missions from the Emperor DLC
- Austrian missions from the Winds of Change DLC</t>
  </si>
  <si>
    <t>You can trigger the religious peace by enacting "Proclaim Erbkaisertum" 
reform, since it will not block the mission A Holy Empire. Forming another 
country which gives new missions (e.g. Germany or unifying the Holy Roman 
Empire) will prevent you from getting the achievement.</t>
  </si>
  <si>
    <t>*or*</t>
  </si>
  <si>
    <t>- Highest Trade power in Genoa, Venice, and English Channel
- Have 300 income</t>
  </si>
  <si>
    <t>Easily done as England or Netherlands by controlling the English Channel 
via provincial trade power and sending light ships to the Venice and Genoa 
trade nodes.</t>
  </si>
  <si>
    <t>- *Not* playing as a released vassal
- Is Arabia
- Be production leader of coffee</t>
  </si>
  <si>
    <t>Coffee is common in the area around Ethiopia and Mali. If you are not the 
leading producer after conquering these areas, build manufactories or 
conquer Mesoamerica. Forming Arabia is easiest as The Mamluks.</t>
  </si>
  <si>
    <t>Have 10 or more personal unions</t>
  </si>
  <si>
    <t>A good way is to choose a country with many PUs in its mission tree such as 
Hungary, Bohemia or Austria. Follow Atwix guide and make use of the new 
favor feature to spread your dynasty. Ensure that your PU subjects are 
fairly large to avoid inheriting their throne.</t>
  </si>
  <si>
    <t>Culture group is *Maghrebi*</t>
  </si>
  <si>
    <t>has at least 500 ships privateering</t>
  </si>
  <si>
    <t>- One of
- 
- 
- 
-</t>
  </si>
  <si>
    <t>Playing as Bengal</t>
  </si>
  <si>
    <t>Own and core Samarkand.</t>
  </si>
  <si>
    <t>Have 10 War Reparations at the same time</t>
  </si>
  <si>
    <t>Can be done more easily as Austria or current Holy Roman Emperor.</t>
  </si>
  <si>
    <t>Playing as Ryazan</t>
  </si>
  <si>
    <t>- Is *not* a subject nation
- Own the provinces of Crimea (284), Kazan (1082) and Saratov (303)</t>
  </si>
  <si>
    <t>Culture group is *Latin*</t>
  </si>
  <si>
    <t>- Culture group is *Latin*
- All provinces in the Tunisia area have 100 devastation</t>
  </si>
  <si>
    <t>Culture must be Latin at game start *and* when Tunisia is devastated. Naples 
is by far the strongest and closest Latin nation in 1444. Regardless of the 
nation selected, declare a war in which land may be taken from Tunis. Take 
the Tunisia area in the war. Then go bankrupt repeatedly until you have 100 
devastation (going bankrupt adds 10 devastation to all provinces). The 
first bankruptcy can be declared manually, but this button can't be used 
while being bankrupt. So the subsequent bankruptcies must be achieved by 
taking the maximum amount of loans and spending all the money while running 
a deficit. A high deficit can be achieved by using the loans to hire and 
upgrade advisors. This is far faster than trying to raise devastation using 
other methods such as occupying the land while at war and using scorch 
earth.</t>
  </si>
  <si>
    <t>Conscript a 3-star general from a Daimyo subject</t>
  </si>
  <si>
    <t>The most reliable way is to vassalize a Jurchen tribe and make them fulfill 
their mission Unite the Jurchen Tribes which gives a 3-star general as a 
reward. This can be done in under a month by creating a custom nation 
shogun, releasing a Jurchen subject and feeding them the required 
provinces. 
Approach via Manchurian general is not doable since the Domination DLC as 
the mission tree was changed and it requires forming Manchu - Manchu cannot 
be formed by a daimyo or any subject other than tributary states.</t>
  </si>
  <si>
    <t>- Is Corfu
- Forced a country to revoke 5 cores in one peace deal</t>
  </si>
  <si>
    <t>Although this achievement can theoretically be started as any nation due to 
Corfu being a releasable nation, the cores need to be revoked while you are 
Corfu. Forcing a nation to revoke cores as another nation, then releasing 
Corfu will not count.</t>
  </si>
  <si>
    <t>- Is in the Muslim religious group.
- Has country modifier *A United Islam*
Enact the "Unify Islam" decision. Requires the following provinces:</t>
  </si>
  <si>
    <t>- Requires Star and Crescent DLC.
- Easiest to do as Ottomans.</t>
  </si>
  <si>
    <t>- Is Ottomans or Rûm
- Own and core Moskva, Constantinople, and Roma.</t>
  </si>
  <si>
    <t>Make sure to attack Muscovy ASAP to remove a future potential threat.</t>
  </si>
  <si>
    <t>- Playing as Cilli
- *Not* using a random New World</t>
  </si>
  <si>
    <t>- is *not*Cilli
- *Not* playing as a released vassal</t>
  </si>
  <si>
    <t>Can be done by annexing Croatia, then culture shifting and re-forming it. 
Use the fact that you are eligible to form a royal marriage with both 
Austria and Hungary in the early game and later grab alliances with Poland 
and/or Bohemia to defeat Hungary for the important provinces.</t>
  </si>
  <si>
    <t>Gained over 100 gold by plundering a treasure fleet.</t>
  </si>
  <si>
    <t>Own 8 provinces that have a level 3 center of trade.</t>
  </si>
  <si>
    <t>The maximum number of level 3 centers of trade equals the number of 
merchants you have. It should be easy to get more merchants with trade 
companies.</t>
  </si>
  <si>
    <t>- Playing as a custom nation
- Only 1 custom nation exists in the world
- Used no more than 201 nation designer points
- No more than 5 provinces
- Religion is Norse</t>
  </si>
  <si>
    <t>- *Not* playing as a released vassal
- Religion is Norse
- Own and core all provinces in Britain and Scandinavia.
- All provinces in Britain and Scandinavia have Norse religion.
Britain and Scandinavia</t>
  </si>
  <si>
    <t>Can also be paired with From Humble Origins and Ideas Guy</t>
  </si>
  <si>
    <t>- Playing as Augsburg</t>
  </si>
  <si>
    <t>- Is Augsburg
- less than 20 provinces
- Subsidize 3 Great Powers at least 20% of their income.</t>
  </si>
  <si>
    <t>The subsidies also count as income, so the subsidies have to be 25% of the 
income before subsidies. The total income can be seen in the Income 
Comparison page in the ledger. The Country page doesn't show all income 
sources. You can subsidize up to 50% of your income to each country, which 
means you need to reach at least half the income of the 3 poorest great 
powers. 
A good way to get it quickly is to get a hold of the Inntal or Eger 
goldmine and to develop it.</t>
  </si>
  <si>
    <t>- Government type is Tribal
- Capital is in India superregion</t>
  </si>
  <si>
    <t>- Has the Steppe Nomads government reform</t>
  </si>
  <si>
    <t>- This achievement is only visible if the Dharma *or* Emperor DLC is 
enabled, but it can be completed without them.
Eligible countries are:
- Bastar
- Bishnupur
- Chanda
- Garha
- Garjat
- Jangladesh
- Jeypore
- Jhalavad
- Jharkhand
- Junagarh
- Kachar
- Kalahandi
- Keonhjar
- Kutch
- Ladakh
- Manipur
- Patna
- Parlakhimidi
- Porbandar
- Ratanpur
- Sadiya
- Tripura</t>
  </si>
  <si>
    <t>Own or have a non-tributary subject own all provinces in the areas: 
Kartli-Kakheti, Samtskhe and Imereti. 
- Own or have a non-tributary subject own all provinces in the areas: 
Georgia and Upper Georgia
- Own or have a non-tributary subject own the province of South Georgia 
(2025)</t>
  </si>
  <si>
    <t>Easiest to do as a coloniser such as France, Spain or Great Britain since 
you can easily acquire the required provinces in North America and the 
South Atlantic. Remaining provinces can be obtained by declaring no-CB wars 
on nations in Caucasia to vassalize them early before they're conquered by 
Russia or the Ottomans.</t>
  </si>
  <si>
    <t>- Government type is *Steppe Nomads*
- Culture group is *Tatar*</t>
  </si>
  <si>
    <t>- The year is before 1500
- Is Golden Horde</t>
  </si>
  <si>
    <t>Culture is *Somali*</t>
  </si>
  <si>
    <t>- All provinces of the Horn of Africa region are owned by the player's 
country *or* its non-tributary subjects.
- Have 10 income from gold</t>
  </si>
  <si>
    <t>- Note that the provinces of Fazughli, Afder and Ogaden have to be 
colonized for the achievement, but the colonies do not need to be complete. 
You can just send your colonist to all 3 provinces at once as soon as you 
have the other land.
- Start as Adal or Ajuuraan, and set the National Focus to 
administrative, then swiftly conquer all adjacent nations in the region 
that are smaller than you. Aggressive Expansion will not be an issue due 
to the nations belonging to different religious groups. To attain the gold 
income, improve production development in the gold provinces Kaffa (2757) 
and Damot (2762).
- Convert the religion in the gold provinces to your state religion, 
which will increase your gold income, requiring less development.</t>
  </si>
  <si>
    <t>Playing as Air</t>
  </si>
  <si>
    <t>- Is Air
- monthly balance is at least *50*
- 50% of the monthly income is from gold</t>
  </si>
  <si>
    <t>This achievement is only visible if the Origins DLC is active, but no DLC 
is needed to complete it. 
As Air consider royal marrying Songhai and Mali and improving relations 
after to get an alliance. Both should start neutral most of the time and 
are strong allies. After, look for choice targets and build over force 
limit by hiring a free company. Air starts with a level 2 fort on their 
capital so rushing smaller enemy capital forts is a viable strategy, no 
need to take unnecessary battles. 
You need 50 positive balance, not income. Consider disbanding armies, 
firing advisors and deleting forts when your income is over 60 ducats, with 
at least 50% gold income. Almost all expenses can be reduced to near 0 
except for state maintenance. To get enough gold income controlling and 
developing the three gold mines in West Africa should be enough. In 1444 
two are owned by Mali and one by Kong.</t>
  </si>
  <si>
    <t>- Is Nitra, Moravia*or*Great Moravia
- Own and core the following provinces:</t>
  </si>
  <si>
    <t>Nitra's cores don't expire except by culture conversion. Requires all the 
territory of Bohemia, Glogow and Opole, Wien (134), Manhartsberg (1770), 
Traungau (4761) and Wienerwald (4762) from Austria, Kraków (262) and Nowy 
Sącz (2960) from Poland, and the Slovakia and Transdanubia areas from 
Hungary. 
If choosing to play as Moravia, you will incur much more agresssive 
expansion and find it harder to make alliances due to being a heretic 
nation (Hussite) if you release them on day 1. There are advantages to 
starting in the empire though, so you may find it useful to convert some of 
Moravia's cores to Catholic before switching to them. 
Since this achievement demands the release of a nation it doesn't have the 
"started as" protection. In return the easiest way to achieve this is to 
play Hungary or Austria, get all the lands, release Nitra and grant it all 
provinces. Reabsorb it once possible and release to play as. The deed will 
be done. This works for any of the create or release achievements and turns 
these deeds trivial. 
Since Winds of change, this achievement is doable simply by forming Greater 
Moravia, which can be done by Bohemia.</t>
  </si>
  <si>
    <t>Playing as Mutapa</t>
  </si>
  <si>
    <t>- Religion is Jewish
- Has used the Jewish religion action *“Celebrate Festival”*</t>
  </si>
  <si>
    <t>This achievement is misspelled as *“Hannukah Mutapa”* in the steam version 
of the game. 
At the start of the game the 2 only Jewish provinces are in Ethiopia, due 
to Ethiopia's missions the AI will always pick the option to temporarily 
accept Jewish religion, giving you 25 years to take them. 
Mutapa's gold mines should allow you to go over force limit and quickly 
declare a war of conquest against Kilwa despite the technology 
disadvantage. With additional 3 gold mines in Butua after annexing vassal 
Butua and conquering Sofala and Kilwa even more mercenaries over force 
limit can be paid. Focus on military mana to not fall further behind 
Ethiopia and nations lying in the way to the jewish provinces.</t>
  </si>
  <si>
    <t>Playing as Hesse</t>
  </si>
  <si>
    <t>- *Not* playing as a released vassal
- is Hesse
- Have 50 regiments of mercenaries
- Have no loans</t>
  </si>
  <si>
    <t>- Religion is Fetishist
- No restriction of the start date</t>
  </si>
  <si>
    <t>- Is Fetishist
- Have unlocked 13 Fetishist cults</t>
  </si>
  <si>
    <t>With the Cradle of Civilization DLC activated, Kilwa may convert all of 
Madagascar to Islam once they gain more than 50% trade power in Zanzibar, 
making the achievement impossible if the three Malagasy cults have not been 
gained already.</t>
  </si>
  <si>
    <t>- Is Wales
- Own Glamorgan (241), Pale (373), Lothian (248), Roma (118), Paris 
(183) and London (236)</t>
  </si>
  <si>
    <t>- It is not needed to core the required provinces.
- The welsh names of the provinces in eu4 are Morgannwg(241), 
Dulyn(373), Lleuddiniawn(248), Rhufain(118), Paris(183) and Llundain(236)</t>
  </si>
  <si>
    <t>- Playing as a custom nation
- Only 1 custom nation exists in the world
- Used no more than 801 nation designer points
- No more than 3 total development</t>
  </si>
  <si>
    <t>- *Not* playing as a released vassal
- Has at least 500 ducats in income</t>
  </si>
  <si>
    <t>Despite the description, can be done with fewer than 800 points. Spoils of 
war do not count towards the income; you must make 500 ducats, not 
including Spoils.
It became very easy after Third Rome, due to Siberian frontier ability: 
Start a nation in Americas with Siberian Frontier as a tradition, it will 
allow you to expand in uncolonized regions rapidly. 
Can also be paired with For Odin! and From Humble Origins</t>
  </si>
  <si>
    <t>- Have 10 furnaces</t>
  </si>
  <si>
    <t>Is Italy</t>
  </si>
  <si>
    <t>Become Italy. The primary culture of the country you start with should be 
in the Latin culture group (the achievement won't be visible in game unless 
you are Latin) but you can also get the achievement via culture shift. The Papal 
State and The Holy Roman Empire can't form Italy.</t>
  </si>
  <si>
    <t>Culture is *Dutch*</t>
  </si>
  <si>
    <t>Is the Netherlands</t>
  </si>
  <si>
    <t>Possible starts are Holland, Utrecht, Gelre. Easily done as Holland by 
seeking independence support from Burgundy's enemies and then carefully 
eating the other Dutch minors. 
One could also try grabbing the Burgundian inheritance as Gelre, which 
grants most of the land required for free. Remember that you must send the 
royal marriage offer, not them.</t>
  </si>
  <si>
    <t>- Playing as The Papal State
- *Not* using a random New World</t>
  </si>
  <si>
    <t>Has enacted the decision Declare the Kingdom of God</t>
  </si>
  <si>
    <t>Government type is *Daimyo*</t>
  </si>
  <si>
    <t>- Is Japan
- In Christian religious group
- All provinces in Japanese region are in Christian religious group.</t>
  </si>
  <si>
    <t>- You must start as a Daimyo subject of Ashikaga. The Japan region 
includes Okinawa, Hokkaido, and the Kuril Islands. Uncolonized provinces 
are required as well. Best done with Otomo, who receive an extra 
missionary in addition to increased papal influence.
- Wait for the Spread of Christianity incident, which usually pops up 
around 1600 or so. Always take the most "Open" or pro-Christian options in 
events. A few years after the incident ends, an event to convert to 
Catholic will pop up.
- If Mandate of Heaven is disabled: don't take the decision to enforce 
Sakoku, wait for events to convert your provinces and spawn Catholic 
rebels, and let them convert at least half your provinces. Harder if you 
have too many disconnected provinces outside the Japan region.</t>
  </si>
  <si>
    <t>Playing as Kuba</t>
  </si>
  <si>
    <t>- Own or have a non-tributary subject own the province Havana (484)
- The leading producer of Tobacco is *either* this country or a subject 
of this country</t>
  </si>
  <si>
    <t>- Not possible with Random New World.
- Making the leading tobacco producer a tributary would count.</t>
  </si>
  <si>
    <t>Primary culture is *Nubian*</t>
  </si>
  <si>
    <t>All provinces in the Egypt region are owned by the player's country *or* 
its non-tributary subjects.</t>
  </si>
  <si>
    <t>Possible starts are Dongola, Alodia, and Makuria.</t>
  </si>
  <si>
    <t>Own the provinces of Lolland (1983), Haha (2470), and Hehe (4073)</t>
  </si>
  <si>
    <t>Lolland begins held by Denmark, Haha held by Morocco, and Hehe uncolonized 
in Central Africa. 
Easiest to No CB Morocco before Iberians take Haha, then push through Kongo 
with expansion ideas to reach Hehe which must be colonized. Can also be 
paired with African Power.</t>
  </si>
  <si>
    <t>Playing as Dithmarschen</t>
  </si>
  <si>
    <t>- Denmark does *not* exist
- Own the provinces of Sjælland (12) and Amsterdam (97)</t>
  </si>
  <si>
    <t>Playing as Sweden</t>
  </si>
  <si>
    <t>- Is Protestant
- Lead and win League War</t>
  </si>
  <si>
    <t>Has to be Protestant and lead the League.</t>
  </si>
  <si>
    <t>- 30 states have prosperity
- Current ruler is at least 70 years old</t>
  </si>
  <si>
    <t>- Is Mali
- Has given at least 10k ducats to a great power with a single use of 
the diplomatic action Send gift
- Has no loans
- Is not bankrupt</t>
  </si>
  <si>
    <t>This achievement is only visible if the Origins DLC is active, but it is 
possible to get the achievement without that DLC.</t>
  </si>
  <si>
    <t>Be trade leader in 7 different trade goods</t>
  </si>
  <si>
    <t>You will need seven different "Trading in X" modifiers at the same time.</t>
  </si>
  <si>
    <t>- Playing as Burgundy
- *Not* using a random New World</t>
  </si>
  <si>
    <t>- Is Lotharingia
- ruler is female
- ruler's name is *Marie*</t>
  </si>
  <si>
    <t>A Consort Regency led by a consort named Marie also qualifies for the 
achievement.</t>
  </si>
  <si>
    <t>Have *7* Morale of armies</t>
  </si>
  <si>
    <t>Research military techs, invest in ideas that improve morale, maintain high 
prestige and army tradition. Finally hire an Army Reformer. Easiest as 
Prussia or Sunda, with their national ideas that give +20% morale.</t>
  </si>
  <si>
    <t>- Is France
- has used the *“Spread the Revolution”* peace term 10 times</t>
  </si>
  <si>
    <t>"Spread the Revolution" peace term can only be used by the revolution target 
against nations that have at least one province the Center of Revolution 
hasn't spread to. They can also only be used against the country directly 
attacked with the CB (not any allies). Best done quickly as revolutionary 
ideas can spread across the entire world, preventing the achievement. Small 
nations in the Americas, Africa and Asia can be targeted to get to 10 if 
necessary.</t>
  </si>
  <si>
    <t>- Is emperor of the Holy Roman Empire
- There are least *7* countries which: 
- 
- have the government reform Free City
- have a primary culture which is *not* in the *Germanic* culture 
group</t>
  </si>
  <si>
    <t>- There can be germanic free cities, but there have to be at least 7 
non-germanic ones
- You can release OPM client states that are republics. Make sure they 
dislike you before granting them independence, which actually raises their 
opinion of you. They will then accept free city status.</t>
  </si>
  <si>
    <t>- Owns or has a non-tributary subject own all provinces of the Caribbean 
region.
- *Not* a pirate republic</t>
  </si>
  <si>
    <t>- The required provinces are the geographical region of the Caribbean, 
not the colonial region. Don't forget Bermuda.
- Portugal is a good nation to try for this achievement. Simply make 
sure to block Spain from colonizing any provinces in Africa or in any of 
the islands in the Atlantic Ocean. This strategy should give enough time to 
colonize all of the Caribbean. With Mandate of Heaven, the "Portuguese 
Colonial Growth" splendor ability can give Portugal a huge head start. 
Annexing Portugal with Castile in the early game is also a working 
method for being the first in the Caribbean. It is enough to start 
colonizing the province, for it to count towards the achievement.</t>
  </si>
  <si>
    <t>Playing as Naples</t>
  </si>
  <si>
    <t>Is a Great power</t>
  </si>
  <si>
    <t>- Playing as Cherokee
- *Not* using a random New World.</t>
  </si>
  <si>
    <t>- Have embraced all institutions.
- Own and core all provinces in the areas: Westsylvania, Delaware Valley, 
Hudson Valley, Massachusetts, Connecticut, Virginia, Great Valley, Piedmont 
Plateau, North Carolina, South Carolina, Vandalia and Overmountain.
- Own and core the provinces: Guale, Penobscott, Shatteras, Mocama, 
Coweta, Sokoki, Kennebec, Passamaquoddy.</t>
  </si>
  <si>
    <t>- Has a government reform which allows Pashas
- Paris has a pasha</t>
  </si>
  <si>
    <t>Can be done as either Ottomans or Rûm
Possible reforms are Ottoman Government, Modernized Ottoman Government, Reorganized 
Ottoman Government and Sultanate of Rûm</t>
  </si>
  <si>
    <t>- Administrative technology is *32*
- Diplomatic technology is *32*
- Military technology is *32*</t>
  </si>
  <si>
    <t>Is Orthodox</t>
  </si>
  <si>
    <t>- Own and core Roma
- Activated *consecrate metropolitan* in the stated area of 
*Lazio-Umbria*</t>
  </si>
  <si>
    <t>Orthodox nations in 1444: Beloozero, Byzantium, Circassia, Georgia, 
Herzegovina, Moldavia, Muscovy, Novgorod, Odoyev, Perm, Pskov, Rostov, 
Ryazan, Samtskhe, Serbia, Theodoro, Trebizond, Tver, Wallachia, and 
Yaroslavl
Easiest to do as Muscovy.</t>
  </si>
  <si>
    <t>- Playing as a custom nation
- Only 1 custom nation exists in the world
- Used no more than 201 nation designer points
- No more than 5 provinces
- Is Zoroastrian</t>
  </si>
  <si>
    <t>- *Not* playing as a released vassal
- Is Zoroastrian
- Has country modifier *Royal Fires*</t>
  </si>
  <si>
    <t>Note that this achievement cannot be combined with Keep the Flame Burning 
because it requires being a Custom Nation, which disallows earning Keep the 
Flame Burning.</t>
  </si>
  <si>
    <t>Playing as Aq Qoyunlu</t>
  </si>
  <si>
    <t>- The year is before 1478
- Qara Qoyunlu does *not* exist
- Owns Tabriz</t>
  </si>
  <si>
    <t>As long as you own Tabriz, any other provinces owned by Qara Qoyunlu at 
game start can be owned by other nations. Vassal/ally feeding can be 
useful. Iraq has many cores on the required area, and there are several 
nations that can be released from Qara Qoyunlu's provinces.</t>
  </si>
  <si>
    <t>- There are no countries in the Holy Roman Empire
- Holy Roman Empire does *not* exist</t>
  </si>
  <si>
    <t>Dismantling the Holy Roman Empire requires allying electors or controlling 
their capital as well as controlling the emperor's capital. Note that the 
HRE disbanding itself due to lack of an eligible emperor and another nation 
disbanding HRE both counts for the achievement.</t>
  </si>
  <si>
    <t>Religion is Shinto</t>
  </si>
  <si>
    <t>Isolationism achievement counter is 6</t>
  </si>
  <si>
    <t>By "going full isolationist" the game is *not* referring to the level of 
isolationism in your country. Rather, it's referring to the fact that each 
incident has an outcome of either open, neutral, or isolationist. To get 
the achievement you must get the isolationist outcome of 6 incidents.</t>
  </si>
  <si>
    <t>- *Not* playing as a released vassal
- Orangists/Monarchists are in power
- *99%* Republican tradition
- Own and core at least one province in the China sub-continent.</t>
  </si>
  <si>
    <t>- Orangist-Statist mechanics require the Dutch Republic (only available 
for countries with Dutch, Frisian or Flemish culture) or The Feuillant 
System (only available to Revolutionary republics). It is *not* possible 
to get the achievement with the various monarchy and theocracy reforms 
which have this mechanic(Stadhouder Monarchy, States General, Ganden 
Phodrang, Dutch Archbishopric, Open Public Elections), because they 
can't get republican tradition.
- The achievement will not be visible unless the country's primary 
culture is Dutch or Flemish, but it can still be obtained.
- Colonizing Taiwan counts for the achievement; no need to wait for a 
Mingplosion.</t>
  </si>
  <si>
    <t>- Capital is Salish (874)
- Own 10 Coffee producing provinces</t>
  </si>
  <si>
    <t>Easiest to complete as a New World nation, as this will simplify moving 
your capital and help with attacking colonial nations. Coffee has an 
increased chance to be produced in the Brazil, Caribbean and Colombia 
colonial regions.</t>
  </si>
  <si>
    <t>Playing as Tunis</t>
  </si>
  <si>
    <t>Own and core the following provinces:</t>
  </si>
  <si>
    <t>- / Has enacted the Allotment System government reform
- Has at least 80 carolean regiments
- Infantry combat ability is at least *40%*</t>
  </si>
  <si>
    <t>Take quality and innovative ideas for *45%* infantry combat ability with 
swedish ideas. Since only development from swedish and finnish cultured 
provinces counts towards increasing how many carolean regiments are 
available you need to culture convert other provinces to reach 800 
development.</t>
  </si>
  <si>
    <t>- Is Kilwa
- all provinces in the regions Moluccas and Indonesia follow the state 
religion of Kilwa</t>
  </si>
  <si>
    <t>Uncolonized provinces must also follow your state religion. Propagate 
religion is helpful however try to keep the Europeans out of the area as it 
won't convert Christian provinces. 
This achievement is only visible if the Origins DLC is active, but it can 
be achieved even without the DLC</t>
  </si>
  <si>
    <t>- Is Confucian
- Have 7 harmonized religions</t>
  </si>
  <si>
    <t>Harmonization takes 33.3 years, but events can speed it up marginally. Ming 
and Korea start with Mahayana already harmonized. Easiest as Ming, 
conquering some Hindu, Sunni, and Shinto land. 
It is also a good option to start as Korea, form Japan, then conquer 
Philippines, Indonesia to achieve this achievement. Harmonization requires 
owning 20 development of the target religion or religious group. Might be 
quicker and more fun to create a custom nation with harmonizing ideas.</t>
  </si>
  <si>
    <t>Playing as Switzerland</t>
  </si>
  <si>
    <t>- *Not* playing as a released vassal
- Own 99 provinces
- Own no ports</t>
  </si>
  <si>
    <t>Can be achieved as part of a normal game and then giving away all the 
coastal provinces. Avoid expanding into the Holy Roman Empire to prevent 
high aggressive expansion.</t>
  </si>
  <si>
    <t>Playing as Hungary</t>
  </si>
  <si>
    <t>- *Not* playing as a released vassal
- Is Hungary*or*Austria-Hungary
- Own and core all of the Inner Austria, Austria Proper, Carniola and 
Tirol areas.</t>
  </si>
  <si>
    <t>Besides provinces from Austria, also requires taking Istria (130) from 
Venice, Cilli (4751) from Cilli, Trentino (110) from Trent and Bregenz 
(4710) from Bregenz. Does not require Sundgau (1880), Breisgau (72) or 
anything else Austria may have expanded into.</t>
  </si>
  <si>
    <t>Playing as *either*: 
- Kazan
- Nogai</t>
  </si>
  <si>
    <t>- *Not* playing as a released vassal
- Is Kazan or Nogai
- No *Tatar* culture group province is owned by another country</t>
  </si>
  <si>
    <t>- Playing as Pegu
- *Not* using a random New World</t>
  </si>
  <si>
    <t>- Is Pegu
- At least 50 owned provinces do not have Mon culture</t>
  </si>
  <si>
    <t>This achievement is only visible if the Leviathan DLC is active, but it can 
be achieved even without the DLC. This can be done at the same time as the Sailor 
Mon achievement, and will often occur without any additional effort. With 
Leviathan, the Pegu mission tree grants a subjugation cb on Ayutthaya, 
which can lead to quite a large acquisition of provinces. The player can 
also flip cultures to Burmese to ensure colonies are not of Mon culture and 
can culture convert their original provinces to a new culture.</t>
  </si>
  <si>
    <t>Playing as Bohemia</t>
  </si>
  <si>
    <t>- *Not* playing as a released vassal
- Is Bohemia
- Own and core Pale</t>
  </si>
  <si>
    <t>Playing as Burgundy</t>
  </si>
  <si>
    <t>- *Not* playing as a released vassal
- Is Burgundy*or*Lotharingia
- Has Austria and France as subjects
- Own and core all provinces in the Low Countries region.</t>
  </si>
  <si>
    <t>Playing as Taungu</t>
  </si>
  <si>
    <t>- The year is before 1500
- Is Taungu
- All provinces in the *Burman*culture group are owned by Taungu</t>
  </si>
  <si>
    <t>- Own and core Northumberland and the Yorkshire, East Midlands, and East 
Anglia areas.
- All these provinces have *Danish*culture.</t>
  </si>
  <si>
    <t>Playing as Huastec</t>
  </si>
  <si>
    <t>Is Maya</t>
  </si>
  <si>
    <t>Playing without El Dorado makes this achievement considerably faster and 
easier since you will not need to reform your religion, which can include 
decades of waiting for Europeans to show up.</t>
  </si>
  <si>
    <t>Playing as Mamluks</t>
  </si>
  <si>
    <t>- Have *100* Army Professionalism
- Ottomans does *not* exist
- Own and core Edirne (149), Constantinople (151), Hüdavendigar (317), 
and Ankara (326)</t>
  </si>
  <si>
    <t>Be sure to attack the Ottomans early or at least cut them off from further 
expansion into Arabia and the Caucasus. You also don't need to have 100% 
professionalism at the time of annexing the Ottomans. You can just build up 
to that number later.</t>
  </si>
  <si>
    <t>Playing as Portugal</t>
  </si>
  <si>
    <t>- The year is before 1500
- Owns a province in the continent of Africa and the super-regions of 
India and East Indies.</t>
  </si>
  <si>
    <t>It's enough to just start a colony. It doesn't need to be finished. 
Portugal gets an event to instantly annex Goa if the appropriate mission is 
completed. The islands of Hollhavai and the Maldives are considered part of 
the East Indies despite being closer to India.</t>
  </si>
  <si>
    <t>- Playing as Austria
- No more than 1 custom nation exists in the world
- Used no more than 201 nation designer points</t>
  </si>
  <si>
    <t>- Owns a province in West Bengal area with the District trade company 
investment
- Owns a province in West Bengal area with the Military Administration 
trade company investment</t>
  </si>
  <si>
    <t>Either conquer or charter Bengal Delta from its owner. Add it to a trade 
company and save up 1,200 ducats. Switch to the territory tab. Buy the 
second building of both the Foreign Influence and Governance Trade Company 
Investments. 
This is one of only two achievements which allows a custom nation on the 
map which can't be earned by playing that custom nation.</t>
  </si>
  <si>
    <t>Playing as Austria</t>
  </si>
  <si>
    <t>- Is Austria*or*Austria-Hungary
- Have 3 personal unions</t>
  </si>
  <si>
    <t>Austrian missions can give Restore Union CBs on Bohemia and Hungary aswell 
as Poland, Milan, Naples and Bavaria. Check the page for the exact 
requirements. Events can also lead to a Habsburg ruling in Spain, allowing 
Austria the opportunity to claim the throne of Castile, and possibly Aragon 
and Naples as well.</t>
  </si>
  <si>
    <t>Playing as Florence</t>
  </si>
  <si>
    <t>Is Egypt</t>
  </si>
  <si>
    <t>Forming Egypt normally requires Admin tech 20, but it's possible to bypass 
this by forming the Mamluks and completing their missions (this will 
require becoming Muslim to take Iqta government, though). One intermediate 
tag that may be useful is Jerusalem, since it gives claims on most of the 
Egyptian culture lands. 
You can also play a normal campaign (even form Italy) then release and play 
as the mamluks, achieve independence and form Egypt at the end. You can go 
as far to make a backup save so you can continue as Italy normally, if you 
please.</t>
  </si>
  <si>
    <t>Own and core all provinces in the Japan region</t>
  </si>
  <si>
    <t>- The Japan region includes Okinawa, Tsushima, Hokkaido, and the Kuril 
Islands.
- One possible and relatively easy way to do this is with Spain. After 
you can reach the East Siberian Coastline after getting some colonies in 
North or South America, get a colony there and start wars with Japan 
afterwards. Due to their lacking of good military forces and technology 
those wars are pretty easy to win.</t>
  </si>
  <si>
    <t>Playing as Morocco</t>
  </si>
  <si>
    <t>Own all of the Niger and Sahel regions</t>
  </si>
  <si>
    <t>*For the event see: The Sudanese Expedition.*
The initial crossing of the Sahara can be done by mission so you don't need 
to take a colonial idea group first. Later, the provinces of Yola, Wukari, 
Bauchi, and Djado do NOT need to be fully colonized, building a colony will 
suffice.</t>
  </si>
  <si>
    <t>Playing as Lithuania</t>
  </si>
  <si>
    <t>- *Not* playing as a released vassal
- Is Commonwealth</t>
  </si>
  <si>
    <t>Lithuanias missions will give a restoration of Union casus belli against 
Poland, if Lithuania are independent after 1450, rival Poland and have 
annexed all of Livonian Order and Riga</t>
  </si>
  <si>
    <t>Playing as Ayutthaya</t>
  </si>
  <si>
    <t>- *Not* playing as a released vassal
- Is Ayutthaya*or*Siam
- Own and core all of the Indochina and Burma regions</t>
  </si>
  <si>
    <t>- National unrest is at least *+10*
- Is the defending war leader in a punitive war and has at least *+30%* 
war score in that war</t>
  </si>
  <si>
    <t>The national unrest can be seen in the stability tab. 
Start as England, declare no-CB wars on two Irish nations. White peace them 
ASAP. One of them shall be Ulster as it controls the Irish part of the 
strait and it is important to be able to block the strait during the 
coalition war. Other Irish nations and Scotland should create a coalition 
against you. Delete your armies. When they declare the coalition war on 
you, block the strait at Ayshire, then occupy Scotland. This should give 
you enough warscore; if not, beat some of their armies. Wait for the War of 
the Roses disaster to fire, which should give enough unrest (altogether 
with war exhaustion and −3 stability). Can be done in 4 years, depending on 
how quick the coalition war fires. Can also be done in combination with To 
the Bone. Start as Bone and declare no-CB wars on your two immediate 
neighbours, pillage their capitals, truce break and repeat. When you reach 
-3 stability stab up once and continue. This will give a high war 
exhaustion and a coalition should form against you. 
The warscore condition in this achievement is bugged in versions 1.35 and 
1.36 and can't reliably be fulfilled. In some cases it triggers randomly 
even if the warscore is lower.</t>
  </si>
  <si>
    <t>Have *7* Morale of navies</t>
  </si>
  <si>
    <t>Research diplomatic techs, invest in ideas that improve naval morale, 
maintain high prestige and navy tradition. Finally hire a Naval Reformer.</t>
  </si>
  <si>
    <t>- Is at war with a revolution target
- Control the capital of the revolution target
- Have greater than *98%* warscore against the revolution target</t>
  </si>
  <si>
    <t>The Revolution disaster (and the French Revolution variant) is announced in 
a major event: 'Revolution in $COUNTRY$' (or 'The General Estates'). 
With the Emperor DLC, there can be multiple revolutionary countries, but 
there can only be one revolutionary target. And it is possible that there 
is no revolutionary target even though there are revolutionary countries. 
The "Birthplace of the revolution" icon in the lower right part of the 
screen shows which country is the revolutionary target. 
Without the Emperor DLC, A country will become the revolution target, with 
"Revolutionary" in its name, if its capital is occupied by rebels while the 
disaster is active. The disaster spawns a stack of rebels, adds +10 
national unrest and removes 3 stability. The player can check if the 
disaster is still active for a country by looking for the +10 unrest 
modifier on its provinces. 
It is feasible both to wait for (or encourage) an AI revolution target, or 
to become the revolutionary target oneself before releasing (and playing 
as) a powerful vassal or colonial nation.</t>
  </si>
  <si>
    <t>Own 100 provinces that have *0%* unrest and autonomy</t>
  </si>
  <si>
    <t>- Have *90*army tradition
- Have *90*navy tradition</t>
  </si>
  <si>
    <t>Easiest to do with Utsunomiya as they get *-1%* decay to each respectively 
from their traditions and ideas. See the page Military tradition for other 
ways of gaining tradition.</t>
  </si>
  <si>
    <t>Capture a flagship</t>
  </si>
  <si>
    <t>Have 5 allies with 100 trust</t>
  </si>
  <si>
    <t>Can be done as Ming by releasing 5 OPMs (not bordering each other), allying 
them and waiting for the trust to tick up. 
Trust can be gained by honoring calls to arms or by using the *Influence 
nation* interaction as a great power, or with The Cossacks or Leviathan by 
trading favors for trust. If neither The Cossacks nor Leviathan are active, 
trust with allies grows slowly over time.</t>
  </si>
  <si>
    <t>Playing as Korea</t>
  </si>
  <si>
    <t>Ship durability is at least 135%.</t>
  </si>
  <si>
    <t>The most straightforward way to get this achievement is by becoming the 
Emperor of China and enacting the "Promote Naval Officers" celestial empire 
decree for +20% durability. Combine this with Koreas national ideas (+10%) 
and their Naval doctrine (+5%) for exactly 135% durability. 
Alternative sources of durability are : waiting until you have a ruler with 
the "navigator" personality (which gives +10% ship durability) and taking 
either either or both naval and quality ideas.</t>
  </si>
  <si>
    <t>Playing as *either*: 
- Buganda
- Busoga
- Karagwe</t>
  </si>
  <si>
    <t>- Administration technology is *32*
- Diplomatic technology is *32*
- Military technology is *32*</t>
  </si>
  <si>
    <t>Most easily accomplished by manually spawning Renaissance, Colonialism and 
Printing Press, and not expanding too much. To get the other institutions, 
build manufactories and universities. Researching level 32 loses the 
ahead-of-time penalty in 1820.</t>
  </si>
  <si>
    <t>Won a war with over 1 million casualties on both sides.</t>
  </si>
  <si>
    <t>- Both sides each need to have at least 1 million casualties (attrition 
*does* count) in the war details screen when the war leader is peaced 
out. Allies and enemies that are peaced out before the war leader do not 
contribute their casualties.
- League Wars can be a good time to get this achievement if you are the 
war leader. Protect your allies and don't separate peace countries. 
Alternatively, you can trigger a big war in the late 1700s after you get 
strong. Regardless, be prepared to buy down war exhaustion as the war will 
almost certainly last way longer than it should.</t>
  </si>
  <si>
    <t>*Not* using a random New World
Playing as one of the following countries: 
- Sakalava
- Betsimisaraka
- Imerina
- Mahafaly
- Antemoro</t>
  </si>
  <si>
    <t>Is one of the following countries: 
- Sakalava
- Betsimisaraka
- Imerina
- Mahafaly
- Antemoro
Own and core all provinces in the following areas: 
- Madagascar Highlands
- Betsimasaraka
- Sakalava
- Southern Madagascar
Own or have a non-tributary subject own all the following provinces: 
- Cape (1177)
- Swellendam (1179)
- Algoa Bay (833)
- Xhosa (1180)
- Wadjuk (1084)
- Minang (2727)
- Nukunu (2736)
- Kaurna (1086)
- Gunditjmara (2735)
- Wurundjeri (1087)
- Yuin (2734)
- Peerapper (4869)
- Pyemmairrener (4868)
- Paredarerme (1085)
- Tharawal (4858)
- Ata Whenua (1246)
- Timaru (1109)
- Kawesqar (783)
- Tierra del Fuego (782)
- Florida Blanca (2869)
- Falklands (1095)
- South Georgia (2025)
Map of the provinces:</t>
  </si>
  <si>
    <t>After taking over Madagascar befriend Kilwa to get Feudalism spreading. 
Take Exploration, then Expansion and colonize the provinces on the Cape of 
Good Hope. Afterwards focus your attention mostly on the Atlantic islands 
and South America to get the required provinces before Portugal does, only 
spreading east when waiting for colonies to finish for reach. Station 
troops in Australia after the colonial nation forms, otherwise the natives 
will attack. 
This achievement is only visible if the Origins DLC is active, but no DLC 
is needed to complete it.</t>
  </si>
  <si>
    <t>- Has 8 Tier 3 monuments</t>
  </si>
  <si>
    <t>Easiest done with France as they starts with 2 and can expand into England, 
Iberia, Morocco and Norway while starting with a decent economy. 
Alternatively a Buddhist nation in Indochina can do it easily as they have 
6 eligible monuments in Tibet and Indochina alone and limited aggressive 
expansion penalties. 
India is also a good option as it has more than 8 monuments. If the 
monument has religious requirements preventing from building it, don't 
forget that you can improve your subject's monument and then integrate 
them.</t>
  </si>
  <si>
    <t>- Is Angevin Kingdom
- Has enacted all of the following parliament issues: 
- Crown of Ireland Act
- Act of the Spanish Crown
- Act of the Italian Crown
- Crown of the Empire</t>
  </si>
  <si>
    <t>Do *not* dismantle the HRE, because that prevents the issue *“Crown of the 
Empire”*. It's recommended to stay Catholic as becoming HRE emperor as 
Anglican requires either religious peace or Protestant victory with around 
a quarter of HRE provinces under Anglican control.</t>
  </si>
  <si>
    <t>- Playing as Ming
- AI-controlled custom nations are allowed, but they are not required</t>
  </si>
  <si>
    <t>- Is Ming
- Own all provinces in the Britain region
Britain region</t>
  </si>
  <si>
    <t>This is one of only two achievements which allows a custom nation on the 
map which can't be earned by playing that custom nation.</t>
  </si>
  <si>
    <t>- Is Spain
- Has the modifier *“Reformed Tercio Regiments”* (from the mission Refine 
the Tercios)
- Has at least 33 tercio regiments
- Control the capitals of three great powers</t>
  </si>
  <si>
    <t>To get the mission, Spain must be formed by a country which *never* was 
Aragon.</t>
  </si>
  <si>
    <t>Playing as Aragon</t>
  </si>
  <si>
    <t>- Has enacted the Peasants Republic government reform
- The owner of the province Madrid (217) has enacted the Peasants 
Republic government reform
- The owner of the province Paris (183) has enacted the Peasants Republic 
government reform</t>
  </si>
  <si>
    <t>The only feasible way to become a peasant republic as Aragon is with the 
third option in the event Sindicat Remença. As a republic, Aragon will *not* 
be eligible for the Iberian Wedding. However, swithing to a Peasants 
Republic after getting the Iberian Wedding will keep the Personal Union. A 
possible way to delay the event is to use « Return province » on any 
Catalonian province, since the event requires Aragon to own all of the 
Catalonia area.</t>
  </si>
  <si>
    <t>- Is Coptic
- Have 5 active blessings</t>
  </si>
  <si>
    <t>Player can start as Muslim nation (such as The Ottomans) and switch 
religion by rebels.</t>
  </si>
  <si>
    <t>Have at least 1 million manpower</t>
  </si>
  <si>
    <t>Although the achievement specifically says "maximum manpower" you actually 
need to have a million saved up and the maximum doesn't matter. Some good 
options of starting nations include Ottomans, which starts with a large 
manpower pool; Muscovy, which can form Russia with its massive manpower 
modifiers; Ming, who can demand manpower from its many tributaries, or Mossi, 
who's unique government reform allows them to extract massive amount of 
manpower from provinces of their primary culture.</t>
  </si>
  <si>
    <t>Playing as Karaman</t>
  </si>
  <si>
    <t>Is Rûm</t>
  </si>
  <si>
    <t>Initial moves for a success are for the player to ally Mamluks and later 
when possible Timurids. Expanding East and land locking the Ottomans in the 
Anatolia region by quick expansion east and north will in conjunction with 
your powerful allies forces the Ottomans to expand into Europe, once this 
occurs your best chance is to wait for a good opportunity strike with your 
allies when the ottomans are weak. Your main objective should be to get the 
provinces of Kocaeli and Biga, so that in next war you can build up your 
galley navy and block the straits.</t>
  </si>
  <si>
    <t>Is Holy Roman Empire</t>
  </si>
  <si>
    <t>Easiest as Austria, playing a normal emperor game, revoking the privilegia 
and then either forming the holy roman empire and continuing to play; or 
saving before forming, and then doing Alt+F4 once the achievement has been 
fulfilled, thereby continuing the campaign with revoke.</t>
  </si>
  <si>
    <t>Playing as Livonian Order</t>
  </si>
  <si>
    <t>- Is Livonia
Own and core all the following provinces: 
- East Prussia area
- West Prussia area
- Silesia area
- North Germany region except the areas Bohemia, Moravia and Erzgebirge
- Chelmno (1859)
- Inowroclaw (4523)
- Gniezno (4526)
- Poznan (254)
- Notec (2963)
- East Frisia (1931)
Map of the provinces:</t>
  </si>
  <si>
    <t>Primary culture is *Jurchen*.</t>
  </si>
  <si>
    <t>Is Qing</t>
  </si>
  <si>
    <t>You need to form Manchu first to be able to form Qing.</t>
  </si>
  <si>
    <t>Is Germany</t>
  </si>
  <si>
    <t>- *Not* using a random New World
- Has a culture out of the British group.</t>
  </si>
  <si>
    <t>- Complete one of the following mission trees: 
- British missions from the Rule Britannia DLC.
- English/British missions from the Domination DLC.
- Angevin missions from the Domination DLC.</t>
  </si>
  <si>
    <t>- Strategies for Rule Britannia missions: 
- Provided you are able to force France into a PU, the missions are 
fairly easy to complete apart from being elected Emperor of the HRE - you 
will either need to convert to Protestant and win the league wars, or 
convert to Anglican or Reformed and hope the Peace of Westphalia occurs - 
which can be very difficult. You may want to stay out of the league wars 
and rent out your troops to the losing side so you can keep the war going.
- Alternatively, you can just disband the HRE while remaining any 
religion.</t>
  </si>
  <si>
    <t>- *or*</t>
  </si>
  <si>
    <t>One of the following: 
- Is Scandinavia and the emperor of the HRE and has passed the imperial 
reform *“Revoke The Privilegia”*
- Is the Holy Roman Empire and was Scandinavia before</t>
  </si>
  <si>
    <t>Easy to do as Denmark. Restart until Burgundy is friendly, hire diplomatic 
reputation advisor, take religious diplomats estate privilege, and insult 
their rival. This should guarantee alliance and marriage for potential BI. 
Then ally and max relations with 3-4 electors, and you should become the 
emperor. Then the standard HRE approach of killing the Reformation. Join 
the HRE for a one-time IA boost. Ideas: Diplomatic, Religious, Influence. 
Diplomatic reputation for passing reforms and inheriting thrones and 
Religious to convert centers of reformation. Emperor Denmark also has an 
easy time killing Swedish pretender rebels.</t>
  </si>
  <si>
    <t>Playing as Scotland.</t>
  </si>
  <si>
    <t>- *Not* playing as a released vassal.
- France is a vassal of Scotland.</t>
  </si>
  <si>
    <t>Playing as one of the following countries: 
- Australia
- Tiwi
- Larrakia
- Yolngu
- Yanuwa
- Awngthim
- Kamilaroi
- Mianjin
- Eora
- Kulin
- Kaurna
- Palawa
- Wurundjeri
- Nyoongah
- Malgana</t>
  </si>
  <si>
    <t>- Hungary is a vassal of this country
- Owns all provinces in the Australia region.
- Is one of the following countries:
- Australia
- Tiwi
- Larrakia
- Yolngu
- Yanuwa
- Awngthim
- Kamilaroi
- Mianjin
- Eora
- Kulin
- Kaurna
- Palawa
- Wurundjeri
- Nyoongah
- Malgana</t>
  </si>
  <si>
    <t>Forming a federation will make the achievement much harder as your nation 
tag will change in the process. One possible way to circumvent this is 
becoming a steppe horde through government reforms, which changes the 
technology group to nomadic and allows you to form Australia, but becoming 
a horde in this way is only possible as a migratory tribe.</t>
  </si>
  <si>
    <t>- Is Yuan
- All colonized provinces in the China super-region owned by Yuan.</t>
  </si>
  <si>
    <t>Taiwan is only required if it is colonized.</t>
  </si>
  <si>
    <t>Playing as *either*: 
- Mazovia
- Silesia
- Opole
- Glogow</t>
  </si>
  <si>
    <t>- *Not* playing as a released vassal
- Is Poland</t>
  </si>
  <si>
    <t>Playing as *either*: 
- Livonian Order
- Teutonic Order</t>
  </si>
  <si>
    <t>- *Not* playing as a released vassal
- Is Livonian Order or Teutonic Order
- Own and core all fully colonized provinces in the Pontic Steppe, Russia, 
and Ural regions.
- All these provinces are Catholic</t>
  </si>
  <si>
    <t>Easiest as Teutonic Order; ally Muscovy, Austria and Bohemia and DOW Poland 
ASAP, or else Poland will form a PU with Lithuania. Restarting until Poland 
declines the PU is also a viable strategy.</t>
  </si>
  <si>
    <t>- *Not* playing as a released vassal
- Is France
- Own and core Moskva, Berlin, and Wien.</t>
  </si>
  <si>
    <t>Playing as Hamburg</t>
  </si>
  <si>
    <t>- Has country modifier *Trading in Livestock*
- Has country modifier *Trading in Gems*</t>
  </si>
  <si>
    <t>The "trading in" bonus is gained by controlling 20% of the trade value of a 
given commodity, calculated as the sum of the value of a good produced in a 
node times the percentage of trade you control in that node, added up for 
every node in the world. It is not necessary to expand further than 
Northern Europe in order to achieve the necessary economy. There are two 
gems provinces (Königsberg and Danzig) just upstream of Hamburg that can be 
highly developed in order to add up to the 20% necessary. The goods 
produced in these provinces can be maximized by adding the rest of Baltic 
trade node to a trade company (which gives a goods produced bonus to all 
other provinces in the node) and stating the two gems provinces. There are 
many livestock provinces in Denmark and around the Baltic that can be used 
to gain the trading in livestock bonus. Keep in mind that manufactories 
will contribute to the bonus, but workshops will not. You may wish to form 
Lübeck to gain better trade ideas. Plutocratic, Trade, and Infrastructure 
ideas are all helpful.</t>
  </si>
  <si>
    <t>Own the following provinces:</t>
  </si>
  <si>
    <t>*For the event see: Consulate of the Sea.*
The requirements do not match the actual Centers of Trade.</t>
  </si>
  <si>
    <t>Playing as Pskov</t>
  </si>
  <si>
    <t>Has at least 100 Streltsy units</t>
  </si>
  <si>
    <t>Primary culture is *Romanian*</t>
  </si>
  <si>
    <t>- Is Romania
- *Not* playing as a released vassal
- All provinces in the Balkans region are owned by Romania*or* its 
non-tributary subjects.</t>
  </si>
  <si>
    <t>Possible starts are Moldavia and Wallachia</t>
  </si>
  <si>
    <t>Playing as Delhi</t>
  </si>
  <si>
    <t>The following provinces are owned by the country *or* its non-tributary 
subjects:</t>
  </si>
  <si>
    <t>Avoid the event at the start of the game that attempts to free Sirhind by 
using the 'place relative on throne' subject interaction right away. To 
make them loyal you can do development in their land, remember that it 
costs 0 dip to integrate them as you already start with cores. Focus on 
expanding south and northwest to begin the game. 
Alternatively, get lots of allies and let the event fire. Sirhind will 
attack you without any allies such as Jaunpur. Right before confirming the 
independence war option in the event, concentrate development from 
Sirhind's provinces, so you can fully annex it in the peace deal. 
Provinces owned by vassals and other non-tributary subjects of the player's 
country will count for the achievement.</t>
  </si>
  <si>
    <t>- Playing as Mulhouse
- *Not* using a random New World</t>
  </si>
  <si>
    <t>- Is the emperor of the Holy Roman Empire
- Has enacted the reform Reichskrieg</t>
  </si>
  <si>
    <t>Mulhouse starts as a republic, and needs to become a monarchy to be able to 
become the Holy Roman Emperor.</t>
  </si>
  <si>
    <t>- Own the institution origin provinces for 
- Renaissance
- Colonialism
- Printing Press
- Global Trade
- Manufactories
- Enlightenment
- Industrialization</t>
  </si>
  <si>
    <t>- Complete one of the following mission trees: 
- Spanish missions from the Golden Century DLC.
- Castilian/Spanish missions from the Domination DLC.
- Aragonese missions from the Domination DLC*and* the lower half of 
the Castilian missions which Aragon gets upon forming Spain.</t>
  </si>
  <si>
    <t>The achievement *cannot* be completed with the Aragonese missions from the 
Golden Century DLC. If the Golden Century, but not the Domination DLC is 
active, Spain must be formed by a country which does *not* have Aragonese 
*nor* Catalan as primary culture, because these cultures give Aragonese 
missions instead of Spanish missions(culture converting after formation 
does not change your missions).</t>
  </si>
  <si>
    <t>- Is Prussia*or*Germany
- Is an empire
- Has at least 40 marine regiments</t>
  </si>
  <si>
    <t>- One of
- 
- 
-</t>
  </si>
  <si>
    <t>Hegemony power is at least 100%</t>
  </si>
  <si>
    <t>Playing as Provence</t>
  </si>
  <si>
    <t>Is Jerusalem</t>
  </si>
  <si>
    <t>Note that the Kingdom of Jerusalem cannot be formed after Age of 
Reformation ends.</t>
  </si>
  <si>
    <t>- Guarantee the independence of: 
- France
- Ottomans
- Russia</t>
  </si>
  <si>
    <t>You can only guarantee a country if you are larger than it. Can be achieved 
easily after unifying the HRE.</t>
  </si>
  <si>
    <t>Playing as Teutonic Order</t>
  </si>
  <si>
    <t>- *Not* playing as a released vassal
- Is the Mongol Empire
- Has enacted the Holy Horde government reform</t>
  </si>
  <si>
    <t>To form the Mongol Empire as the Teutonic Order you need to choose the 
crusader path of missions after completing Defeat Poland, this will unlock 
the mission Crusaders of the Steppes which allows forming the Mongol Empire 
due to the unique government reform.</t>
  </si>
  <si>
    <t>Playing as The Papal State</t>
  </si>
  <si>
    <t>- is The Papal State
- Own and core Jerusalem.
- Have Livonian Order, Teutonic Order and The Knights as marches.</t>
  </si>
  <si>
    <t>This achievement has several common pitfalls which would make it all but 
impossible to complete it if they happen. The strategy page for this 
achievement has a section which explains them and some ways to get out of 
these situations. The player is advised to read that before attempting the 
achievement.</t>
  </si>
  <si>
    <t>- All provinces are either desert or coastal desert
- No other country has a higher development than this country
All desert and coastal desert provinces</t>
  </si>
  <si>
    <t>Easiest as Ajuuraan or the Mamluks, because of their national ideas and the 
"Hydraulic Rights" estate privilege (which reduces the additional cost from 
developing deserts and coastal desert by half), that is unlocked through a 
mission in Origins DLC. Forming Arabia (possibly via Yemen to avoid the 
tech requirement) will unlock the similar "Oasis Development" privilege, 
which stacks with "Hydraulic Rights"</t>
  </si>
  <si>
    <t>- Is Greece
- Own the core provinces of Zeta (138), Thatta (504), Roh (578), and 
Lamba (4104)</t>
  </si>
  <si>
    <t>- Forming Greece requires Greek primary culture. Zeta begins held by 
Serbia, Thatta held by Sindh, Roh held by Afghanistan, and Lamba 
uncolonized in Central Africa.
- Alternatively, you can conquer Byzantium and wait for Greek cores to 
form after the Greek Separatism event fires (requires Admin Tech 20). 
Release Greece as a vassal and feed him the required provinces. Once they 
are cored, diplomatically annex Greece and release them again, but chose to 
play as Greece this time. Note that since Thatta is in a Trade Company 
region you must own the province yourself to state and fully core it before 
giving it to Greece, otherwise they will lose their territorial core upon 
annexing.</t>
  </si>
  <si>
    <t>- Religion is Zoroastrian
- Baku Ateshgah is tier 3
- The following provinces are owned and follow the Zoroastrian faith: 
- Daman (4430)
- Khiva (441)
- Larestan (2223)
- Shirvan (421)
- Tun (4336)
- Zanjan (2212)</t>
  </si>
  <si>
    <t>Easiest after forming Persia, which can convert to Zoroastrian via mission 
even if no provinces of the religion are left. 
Note that this achievement cannot be combined with Rekindling the Flames 
because it cannot be earned as a Custom Nation, which is required for 
Rekindling the Flames.</t>
  </si>
  <si>
    <t>Playing as *either*: 
- Cyprus
- The Knights</t>
  </si>
  <si>
    <t>Completing the mission Jerusalem! allows forming Jerusalem after the age of 
reformation.</t>
  </si>
  <si>
    <t>Playing as *either*: 
- Odoyev
- Ryazan
- Tver
- Yaroslavl
- Beloozero
- Rostov</t>
  </si>
  <si>
    <t>This country and its junior partners are the only countries with the 
Rurikovich dynasty</t>
  </si>
  <si>
    <t>Playing as The Knights</t>
  </si>
  <si>
    <t>- Owns all provinces in the Caribbean region.
Owns the following core provinces: 
- Rhodes (320)
- Cyprus (321)
- Crete (163)
- Naxos (164)
- Chios (2348)
- Euboea (3003)
- Lesbos (4700)
- Cephalonia (4698)
- Corfu (142)
- Syracuse (2982)
- Messina (124)
- Palermo (125)
- Girgenti (4737)
- Trapani (4736)
- Djerba (2954)
- Malta (126)
- Sassari (127)
- Corsica (1247)
- Menorca (4559)
- Ibiza (4560)
- Mallorca (333)
- Venezia (112)
- Arborea (4735)
- Cagliari (2986)
Map of the Mediterranean provinces: 
The needed mediterranean provinces</t>
  </si>
  <si>
    <t>Bermuda is also part of the Caribbean region even though it is not part of 
the Colonial Caribbean colonial region.</t>
  </si>
  <si>
    <t>Playing as Serbia</t>
  </si>
  <si>
    <t>- *Not* playing as a released vassal
- Is Serbia
- Own and core all provinces in the Balkans region</t>
  </si>
  <si>
    <t>Primary culture is *Irish*</t>
  </si>
  <si>
    <t>Own and core all provinces of the Britain region.</t>
  </si>
  <si>
    <t>Possible starts are Clanricarde, Desmond, Kildare, Leinster, Munster, Offaly, 
Ormond, Sligo, Thomond, Tyrconnell, Tyrone and Ulster. 
Desmond is a good choice due to early military ideas. Rushing to conquer 
the rest of the Irish OPMs and securing an alliance with Scotland can deter 
England until the time is right.</t>
  </si>
  <si>
    <t>Playing as Lucca</t>
  </si>
  <si>
    <t>- *Not* playing as a released vassal
- Is Lucca
- Own and core Lucknow</t>
  </si>
  <si>
    <t>Lucknow is in northern India, initially owned by Jaunpur.</t>
  </si>
  <si>
    <t>Not playing as The Papal State</t>
  </si>
  <si>
    <t>- Is Roman Empire
- Own the following provinces:</t>
  </si>
  <si>
    <t>Easiest to do as the Ottomans after converting to Christianity. 
Alternatively, with Golden Century, this is relatively easy as Aragon as 
their mission tree gives you claims on most of the required territory. With , 
Byzantium has a tough start but very strong ideas and missions that give 
claims on almost all required land.</t>
  </si>
  <si>
    <t>Playing as Odoyev</t>
  </si>
  <si>
    <t>Own at least one manufactory of each type</t>
  </si>
  <si>
    <t>- The new manufactories (Ramparts, Soldier's Households, Impressment 
Offices, State House) are also necessary
- With the Rule Britannia DLC a furnace is also necessary.
- Building the manufactories isn't very hard. The hard part is surviving 
long enough to get to the required technology (admin tech 16 without Rule 
Britannia and till the Enlightenment with the DLC) as well as getting 
provinces with the correct trade goods.</t>
  </si>
  <si>
    <t>Own or have a non-tributary subject own all provinces in the Indian 
sub-continent (regions Deccan, Coromandel, Bengal, Hindustan and Western 
India).</t>
  </si>
  <si>
    <t>It's *not* required anymore for the player to directly own all provinces 
inside the Indian sub-continent. Vassals and other direct subjects count as 
long as they are not tributaries. Coring the provinces is also no longer 
required. 
The capital does not need to remain in Europe. Edirne is European, so the 
Ottomans are eligible and have the best shot at a quick land rush into 
India.</t>
  </si>
  <si>
    <t>Has completed all Mewari missions</t>
  </si>
  <si>
    <t>This achievement is only visible if the country has Mewari missions, but it 
is not required to start as Mewar. It is also possible to start as any non end-game 
tag and then form Rajputana to get these missions.</t>
  </si>
  <si>
    <t>- Playing as The Knights
- *Not* using a random New World</t>
  </si>
  <si>
    <t>Own and core the provinces of Constantinople (151), Antioch (2313) and 
Jerusalem (379)</t>
  </si>
  <si>
    <t>- Is Saruhan
- 9 countries fulfill the following conditions: 
- is a vassal of Saruhan
- has less than *50%* liberty desire
- has at least *100* development</t>
  </si>
  <si>
    <t>Saruhan's core starts under the control of the Ottomans. Suggested 
strategy: expand rapidly as you normally would with the Ottomans until you 
have ~1200 development. Then, plan to release-and-play as Saruhan, taking 
most of Otto's lands. To do this, you will need to release Saruhan as 
vassal, wait 10 years, start to annex (to designate cores), feed it land, 
finalize annexation, and then release-and-play. You can cheese the 
release-and-play by feeding past the point of loyalty and then applying all 
available annexation cost reductions (Acquire Subjects mission, Influence 
idea, Amirs privilege, as well as any possible Policies). Make sure you 
wait until the last day of the month to do this, or else annexation 
progress will drop and you will be unable to proceed. As long as your 
annexation progress is above 100 on the month tick, it won't matter if 
liberty desire is over 50%. 
Once you have reannexed, you will be able to release-and-play. Ideally you 
will then own almost all Ottoman lands, making independence relatively easy 
to pursue. From there, you need to obtain 9 loyal vassals (NOT marches, NOT 
client states) with 100+ development. Rather than directly subjugating 
enemies to meet the vassal count, it is suggested that the player conquer 
and then release vassals; this avoids the forced vassalization malus. To 
help reduce liberty desire and thus total development needed, choose the 
relevant policies, and be sure to get the Splendor abilities in the Age of 
Revolutions (Anti-Revolutionary Zeal + Loyal Subjects). Upon release, you 
will no longer have the Ottoman government form, and should choose Iqta. 
Then on your goverment tab choose Lenient Taxation, which provides another 
Liberty Desire reduction. 
Note that during the feeding of Saruhan and following your transition to 
playing as them, the Ottomans will likely be severely weakened and thus 
open to attack. Keep this in mind, perhaps securing treaties in advance or 
locking in allies (though too many allies for Otto will make subsequent 
independence harder). Ideally you will be able to secure independence 
support from a rival.</t>
  </si>
  <si>
    <t>- Playing as Denmark</t>
  </si>
  <si>
    <t>- Is Denmark*or*Scandinavia
- Has at least one province in Asia assigned to a trade company
- Has 10% market share in Tea</t>
  </si>
  <si>
    <t>Easiest when Denmark chooses exploration ideas early to reach Southeast 
Asia. Then form a claim in Ayutthaya or wait for Mingsplosion.</t>
  </si>
  <si>
    <t>Own 1001 provinces</t>
  </si>
  <si>
    <t>Colonial provinces taken in war from other nations do not add 
overextension. Colonial nations won't be established as long as less than 5 
provinces are cored so don't core them until you get the achievement.</t>
  </si>
  <si>
    <t>Playing as Madurai</t>
  </si>
  <si>
    <t>Own all provinces in the region of Coromandel and the areas of Malabar, 
Mysore, and Rayalaseema</t>
  </si>
  <si>
    <t>- Is Cebu
- Own the following provinces:</t>
  </si>
  <si>
    <t>Playing as Kaffa</t>
  </si>
  <si>
    <t>- Developed in Caffa (285).
- Any subject nation owns Caffa.</t>
  </si>
  <si>
    <t>Caffa is in the Pontic Steppe region, initially owned by Genoa.</t>
  </si>
  <si>
    <t>Playing as Ethiopia</t>
  </si>
  <si>
    <t>- Is Coptic
- Own and core Alexandria, Antioch and Constantinople.</t>
  </si>
  <si>
    <t>The most challenging part is timing the war with the Mamluks so that they 
are beatable but haven't lost too much land to the Ottomans. Once you have 
a border on the Mediterranean, steal or trade for maps to see and ally 
European majors for fighting the Turks.</t>
  </si>
  <si>
    <t>- Culture is *Yemeni*
- Is year 1700 or later
- Is Yemen
- No coffee-producing provinces in the continents of Asia, Africa, or 
Oceania are held by a country with its capital in Europe.</t>
  </si>
  <si>
    <t>Conditions may be fulfilled any time after 1699, and do not need to be 
fulfilled before that time. Yemen is reformable via culture shift, so this 
is very attainable playing as any country. Can be combined with the Arabian 
Coffee achievement. Do not form Arabia</t>
  </si>
  <si>
    <t>- Is Qing
- Is Emperor of China
- Own all provinces in the China super region.</t>
  </si>
  <si>
    <t>Playing as Pegu</t>
  </si>
  <si>
    <t>Have at least 100,000 sailors</t>
  </si>
  <si>
    <t>The achievement needs 100k sailors in the sailor pool. The maximum sailors 
don't matter. Exploiting production development in coastal provinces 
generates sailors even if the maximum has already been reached, but this 
reduces the maximum, so it is only useful if 100k can actually be reached 
in this way.</t>
  </si>
  <si>
    <t>- Playing as Bologna
- *Not* using a random New World</t>
  </si>
  <si>
    <t>Is Mexico*or*Texas*or*Sonora</t>
  </si>
  <si>
    <t>Easiest to do by forming a colonial nation in the Mexico colonial region 
(to form Mexico) or the Rio Grande region (to form Texas) and then release 
and play as them which requires Conquest of Paradise. But it is also 
possible to form Mexico or Texas by moving your capital to the previously 
mentioned (colonial) region before a colonial nation forms. Then no DLC is 
necessary.</t>
  </si>
  <si>
    <t>Not the emperor of the Holy Roman Empire</t>
  </si>
  <si>
    <t>- Is Spain
- Is the emperor of the Holy Roman Empire</t>
  </si>
  <si>
    <t>Easiest to do as Aragon by allying Austria in 1444, abandoning your 
Personal Union with Naples, and returning 1-2 provinces in Sicily to get 
just below 200 development. This way, you can add your provinces to the HRE 
so becoming the Emperor is much easier. Once you get to Administrative 
Technology 10, and the Iberian Wedding event has happened, form Spain 
diplomatically. Wait until you're already Emperor or you'll have to leave 
the HRE and it will become much harder to do again.</t>
  </si>
  <si>
    <t>- Have a female ruler
- Has country modifier *Trading in Cloves*
- Has country modifier *Trading in Spices*
- Has country modifier *Trading in Salt*
- Has country modifier *Trading in Sugar*</t>
  </si>
  <si>
    <t>- This achievement is only visible if the Leviathan DLC is active, but 
it can be achieved even without the DLC.
- Having a Queen Regency with a male heir is sufficient.</t>
  </si>
  <si>
    <t>- Playing as Munich
- *Not* using a random New World</t>
  </si>
  <si>
    <t>- Is Bavaria
- Bremen is a subject of Bavaria
- Bremen owns Werder (2778)</t>
  </si>
  <si>
    <t>Werder (2778) is in the Horn of Africa region and owned by Marehan at the 
start of the game. As Munich, take your time consolidating into Bavaria. If 
you can, befriend the emperor and/or electors to make your life within the 
HRE easier. Once you have a border with Bremen, or coastal provinces in 
coring range of Bremen, look for war opportunities which Bremen will be 
called ito as an ally. As they are a free city, it will be much harder if 
you declare directly on them (as the Emperor will defend free cities). 
Annex Bremen in a separate peace and release them as your vassal (you can't 
vassalize a free city in a peace deal). Afterwards, expand in power so that 
you can combat your most powerful neighbours - Ottomans, Spain, France, 
etc. Make sure to give Bremen land, either in the direction of the Ottomans 
or in the direction of Spain. You will have to fight your way through at 
least one, feeding Bremen provinces to "snake" their land down to Werder 
(this is because vassals need adjacent land or sea tiles to be given 
provinces and do not care about coring distance/colonial range). The least 
time-consuming method would be to give them a province per sea tile 
starting from the Mediterranean, down through the Mamluks to the Red Sea 
coast, and finally down to Werder.</t>
  </si>
  <si>
    <t>- Is Lippe
- Own all provinces in Britain
Britain region</t>
  </si>
  <si>
    <t>Lippe doesn't exist in 1444, but it can be released from its core province 
Ravensberg (4775) which is owned by Berg. By first releasing Lippe as a 
regular vassal, giving them provinces to core and annexing them gives more 
land when releasing them again. 
Can be done as part of a HRE campaign. Ensure Lippe exists before you pass 
"Revoke the Privilegia". Feed all of Britain's cores to your Lippe vassal 
and then either annex Lippe or pass the final reform "Renovatio Imperii", 
then release and play as Lippe, earning you the achievement.</t>
  </si>
  <si>
    <t>- Is Madyas
- Own and core the provinces of Tepeacac (2628), Mexico (852), Tullucan 
(2626) and Tlapacoyan(853, formerly called Huastec).</t>
  </si>
  <si>
    <t>You need to directly own and core the target provinces, and not through 
your colonial nation. There are several ways to achieve this: 
Move your capital city to North America before a colonial nation forms. 
Get a colonial nation in one of the colonial regions adjacent to Mexico and 
grant them a chain of colonized or conquered provinces in Mexico up to the 
achievement provinces with the help of the grant province subject 
interaction(or by transferring occupations in a war if they are on the same 
continent as the capital of the CN). The achievement provinces can be cored 
as soon as the colonial nation has cored a province next to them. 
Vassalize a native, take land from some other native including the needed 
ones and a chain of provinces leading to the coast. Core one coastal 
province to be able to start coring the 4 achievement provinces. To avoid 
forming a colonial nation, the cored coastal province then has to be given 
to the vassal. 
Use the Unrestricted Conquest age ability from the Age of Revolutions. 
Simply annexing a vassal in the region won't fire the achievement.</t>
  </si>
  <si>
    <t>- Is Japan
- Has enacted the Land of the Christian Sun government reform
- The Palestine area and the province Cairo (361) have a Christian 
religion and are owned by this country</t>
  </si>
  <si>
    <t>To get the Land of the Christian Sun government reform, it is mandatory to 
get the open outcome in the incident Spread of Christianity.</t>
  </si>
  <si>
    <t>- Culture group is *Levantine*
- Culture is not *Turkish*
- Has the Tribal Federation government reform</t>
  </si>
  <si>
    <t>- Is Arabia
- Have *100*Tribal Allegiance</t>
  </si>
  <si>
    <t>Possible starts are Anizah, Dawasir, Fadl, Najd, Najran, Shammar and Yas. 
The only way to get Tribal Allegiance within the constraints of this 
achievement is by keeping the Tribal Federation government reform. This 
reform *cannot* be selected again after losing it, so it is mandatory to 
*never* switch government types (e.g. with one of the tier 6 government 
reforms or via the first option of the Arabian mission event A New Caliphate) 
or do something else which gives a different tier 1 reform. 
To get Tribal Allegiance quickly as a large nation, humiliate rivals and 
allow enemies to rebuild armies so you can wipe them for prestige (since 
battle prestige gives Tribal Allegiance). The Offensive idea group is 
useful as it doubles prestige gain from battle victories. The Tier 6 reform Tribal 
Unity, as well as both monuments in Cairo at magnificent tier, give *+1* 
yearly Tribal allegiance each, which will help to offset the loss of Tribal 
Allegiance due to development (capped at *-0.25* monthly at 1000 
development).</t>
  </si>
  <si>
    <t>- *Not* playing as a released vassal
- Is Riga
- All provinces in the Baltic region are owned by the player's country 
*or* its non-tributary subjects.</t>
  </si>
  <si>
    <t>All provinces with silk are owned by the player's country or its 
non-tributary subjects.</t>
  </si>
  <si>
    <t>Silk provinces stretch from Granada to Kyoto, with concentrations in the 
Persia, India and South China regions. With Golden Century, Aragon has a 
mission that makes Valencia produce silk. With Emperor, Milan has a mission 
that makes Como produce silk.</t>
  </si>
  <si>
    <t>Playing as Garhwal</t>
  </si>
  <si>
    <t>- Has no loans
- Own at least 52 forts (level 2)</t>
  </si>
  <si>
    <t>Playing as Manipur</t>
  </si>
  <si>
    <t>- All provinces in the Bengal region are owned by the player's country 
*or* its non-tributary subjects.
- All provinces in the Bengal region are Animist</t>
  </si>
  <si>
    <t>As soon as you can, take on your western neighbours, Kachar and/or Tripura. 
You will not have much luck east from game start, as Ava will guard it's 
tributaries. Best option is to not conquer both provinces, but to take one 
as a vassal - and a second OPM vassal in india as soon as possible as well. 
You can force them to be animist and feed them Indian culture provinces 
that you conquer. Allies are hard to come by, and vassals will be obliged 
to help you, pay you, give you extra force limit, etc.. Look for an 
opportunity to eat nations up north such as Assam, Sadiya, Mong Kawng, and 
Koch before Bengal annexes them or Ming makes them a tributary. Delay 
becoming a tributary of Ming as long as possible (or never if you can), but 
do not be afraid to use it as an inroad for expansion east as Ming will 
have a lot of tributary states in that direction. Once you are set up, it's 
the same as any other OPM-to-#1-Great-Power game. Get religious ideas to 
make conversions faster, especially against Islamic provinces.</t>
  </si>
  <si>
    <t>Has the Daimyo government reform</t>
  </si>
  <si>
    <t>- Is Japan
- All provinces in Japan region must be either owned and cored by Japan 
or unowned.</t>
  </si>
  <si>
    <t>You must start as a Daimyo subject of the Ashikaga Shogunate. The Japan 
region includes Okinawa, Hokkaido, and the Kuril Islands.</t>
  </si>
  <si>
    <t>- Has enacted the Pirate Republic government reform
- Has enacted the War Against the World Doctrine government reform
- No fully colonized province in the world produces slaves</t>
  </si>
  <si>
    <t>Almost all slave provinces are on the African continent (except Azov). 
Palembang has a quick event which converts them into pirate republic, but 
they are Hindu and have mediocre ideas. An easier way is to start as Pasai 
and hoist the black flag: Pasai has better starting provinces, better 
ideas, and is Muslim, which makes alliance and AE easier. Alternatively, 
Gotland also becomes a pirate nation through event. Azov and the Ivory 
Coast are areas of contention with slaves which need to be rushed to asap. 
Kilwa has the best starting location and missions in Africa. Complete 
Prepare the Invasion mission to secure five provinces in Madagascar. Move 
Kilwa's capital to Zanzibar or Madagascar. Give the remaining provinces to 
Sofala and release the vassal, then Hoist the Black Flag
Can be done easily by releasing and playing as Cornwall after you conquer 
all slave provinces and abolish slavery, e.g. as England/Great Britain, 
because Cornwall's pirate event requires just 3 ships privateering. 
Maghrebi nation such as Tunis can sell non coastal provinces to meet the 
requirements, an alliance with the Ottomans and a proximity to Genoa help 
gaining Azov early in the game.</t>
  </si>
  <si>
    <t>- Have 500 heavy ships
- Have no loans</t>
  </si>
  <si>
    <t>Best done with a high income nation with naval force limit and ship build 
cost bonuses. Netherlands, Venice, and Genoa are optimal but can easily be 
done with England, Spain or Malaya. This can be done much more easily by 
debasing currency.</t>
  </si>
  <si>
    <t>- *Not* playing as a released vassal
- Is Hindustan or Bharat
- Own or have a non-tributary subject own London (236), Cape (1177), 
Canton (667) and Kichessipirini (4890)</t>
  </si>
  <si>
    <t>Kichessipirini (4890) is called Ottawa when owned by a British or English 
country.</t>
  </si>
  <si>
    <t>Started with culture *Jurchen*</t>
  </si>
  <si>
    <t>Have 100 banner regiments</t>
  </si>
  <si>
    <t>Make a custom Jurchen duchy holding all Jurchen provinces and the most 
developed states in East Asia. Set it up for high number of states, reduced 
culture conversion cost, and lots of diplomatic power. Start with at least 
1200-1250 development, or face needing to develop or conquer more and wait 
for separatism to tick down. Form Manchu and then Qing, then make everyone 
nearby pay tribute in diplomatic power. Everything can be converted to 
Manchu before 1500, which is enough for 100 regiments and a few more. Admin 
tech 8 gives 3 more state slots but it is possible without them.</t>
  </si>
  <si>
    <t>Playing as Mysore</t>
  </si>
  <si>
    <t>- All provinces in Deccan and Coromandel regions are owned by the 
country or a non-tributary subject</t>
  </si>
  <si>
    <t>You need to ally Bahmanis to make it possible to defeat Vijayanagar If you 
can't, then you might have to restart a few times or no-cb a country in 
southeast Asia</t>
  </si>
  <si>
    <t>Playing as Candar</t>
  </si>
  <si>
    <t>Have 20 provinces of sugar owned by this country and its non-tributary 
subjects</t>
  </si>
  <si>
    <t>Fleeing to the new world is recommended, if not required for this 
achievement.</t>
  </si>
  <si>
    <t>Playing as Venice</t>
  </si>
  <si>
    <t>- *Not* playing as a released vassal
- Have less than 10 fully colonized provinces(cities)
- Have at least *75%* of the total trade power in the trade nodes 
Alexandria and Constantinople</t>
  </si>
  <si>
    <t>Quickly vassalize Byzantium, feed them back their cores, ally 
Austria/Hungary to combat the Ottomans early game. Conquer all the centers 
of trade/estuaries in the Constantinople trade node and feed them to 
Byzantium. You can release Bulgaria and feed them as well so Byzantium does 
not have as high development. Repeat this by releasing Syria and feeding 
them back their cores and conquering/feeding Syria centers of trade in 
Alexandria node. Keep vassals happy by developing their provinces, 
placating and developing your own provinces to make yourself seem stronger. 
Plutocratic/Influence/Diplomatic/Innovative ideas help with keeping vassals 
loyal because of ideas, policies and diplomatic reputation. Take Trade idea 
group. You can drop Crete, Corfu and Dalmacija and pick up Milan and 
Ragusa. Release Croatia to help control the Ragusa trade node to ensure 
your wealth.</t>
  </si>
  <si>
    <t>- Is Asturias
- Own and have a holy order established in the Rum area</t>
  </si>
  <si>
    <t>- Easiest to do as Ottomans. First, no-CB Castile and conquer the 
province of Vizcaya, then release Asturias as a vassal. Next, conquer 
enough Iberian provinces to connect Vizcaya to the Mediterranean as well as 
at least one province per sea tile connecting Iberia to all provinces in 
the Rum area, giving Asturias the line of provinces in each peace deal as 
well as any of your own provinces needed to complete the snake. Integrate 
and re-release Asturias, selecting to play as them, and then establish the 
holy order needed in order to complete the achievement. A similar strategy 
can be used if starting as Aragon, which owns most of the connecting 
provinces needed.</t>
  </si>
  <si>
    <t>Playing as Ragusa</t>
  </si>
  <si>
    <t>- Lead a Trade League of at least 5 nations
- Guarantee the independence of Ottomans</t>
  </si>
  <si>
    <t>You can only guarantee a country if you are larger than it. Ironically, 
taking land from the Ottomans for a vassal is probably the best way to do 
this.</t>
  </si>
  <si>
    <t>- Is New Providence
- Owns all provinces in the Caribbean region.</t>
  </si>
  <si>
    <t>Bermuda is in the Caribbean region also. 
- Starting as a custom nation in the Caribbean with the Bahamas as a 
core, and privateering in the Caribbean will allow you to spawn New 
Providence extremely quickly, giving you time to expand and colonize much 
of the Caribbean before the European colonial powers arrive. Pirate 
republics can declare war on colonial nations without their overlord being 
called as an ally, so if Europeans begin to colonize the Caribbean before 
you can finish, it may be easier to allow a colonial nation to form.</t>
  </si>
  <si>
    <t>- Is Russia
- Is Emperor of China
- Is the emperor of the Holy Roman Empire</t>
  </si>
  <si>
    <t>To be Emperor of China, you must be in the Pagan or Eastern religion group, 
whilst to be the HRE Emperor, you generally must be Catholic unless Protestants 
won the league war, or sometimes other Christian denominations given 
specific circumstances (see League war), so a religion switch will be 
necessary to complete the achievement. Switching to a non-Christian 
religion as HRE Emperor will cause the emperorship to be lost unless the 
Erbkaisertum reform has been passed, while changing religion as Emperor of 
China allows you to retain the title. As such, it may be easiest to start 
as an atypical nation to form Russia such as Oirat, which starts off as Tengri 
and can use horde mechanics to relatively easily expand into the 
territories needed to form Russia. It is recommended to not seize the 
mandate until the needed provinces are conquered since seizing the mandate 
will change your government to Celestial Empire and disable horde 
mechanics. At this point, culture shift to Muscovite, Novgorodian or 
Ryazanian culture and form Russia once you hit admin tech 10. At some point 
you will need to conquer a Catholic province, perhaps from the Scandinavian 
or the Baltic regions, which will allow you to convert to Catholic via 
rebels. After seizing the Mandate of Heaven, convert to Catholicism, then 
ally or vassalize enough HRE electors to get yourself elected Holy Roman 
Emperor.</t>
  </si>
  <si>
    <t>- Is Inca
- *Not* playing as a released vassal
- Have embraced all institutions
- All provinces in South America are either empty, wasteland, a colony 
or owned and cored Inca.</t>
  </si>
  <si>
    <t>The Falklands (1095), South Georgia (2025) and Galapagos (2002) are also 
part of South America. It is useful to colonize them before a strong 
colonizer can do it, because these provinces won't become part of a 
colonial nation. This achievement is very hard without El Dorado, but 
pretty easy without it.</t>
  </si>
  <si>
    <t>Playing as Athens</t>
  </si>
  <si>
    <t>- *Not* playing as a released vassal
- Is Athens
- 50 owned provinces have Universities.</t>
  </si>
  <si>
    <t>Playing as Kongo</t>
  </si>
  <si>
    <t>All fully colonized provinces in Africa are owned and cored by Kongo</t>
  </si>
  <si>
    <t>- Empty provinces and unfinished colonies are excluded and may be safely 
ignored.
- The isolated islands required are: Comoros, Mahe, Mauritius, Île 
Bourbon, Sao Tome, Fernando Po, St. Helena, Cape Verde and Djerba (but not 
the Canarias, Madeira, Azores, Maldives, Socotra, or any other in the 
Mediterranean).</t>
  </si>
  <si>
    <t>Playing as Albania</t>
  </si>
  <si>
    <t>- *Not* playing as a released vassal
- All provinces in the Iberia and Caucasia regions are owned by the 
player's country *or* its non-tributary subjects.</t>
  </si>
  <si>
    <t>Playing as *either*: 
- Mzab
- Touggourt
- Djerid</t>
  </si>
  <si>
    <t>Is Andalusia</t>
  </si>
  <si>
    <t>Forming Algiers, Morocco, Tunis or another country *will not* prevent the 
achievement but instead only hide its conditions.</t>
  </si>
  <si>
    <t>- Playing as a custom nation
- Only 1 custom nation exists in the world
- Used no more than 401 nation designer points
- *Not* using a random New World
- Own no provinces outside the Britain region</t>
  </si>
  <si>
    <t>- The date is before 12 November 1524
- Own Manahahttan (965), Ohlone (4637), Suez (2315), Thana (529), Bengal 
Delta (561), Canton (667), and Musashi (1028)</t>
  </si>
  <si>
    <t>Requires Ohlone (4637) instead of Miwok/San Francisco (2021). Provinces 
cannot be owned by subject, so it is important not to establish colonial 
nations in North America. Considerably easier with the charter company 
mechanism from Dharma.</t>
  </si>
  <si>
    <t>Playing as Avaria</t>
  </si>
  <si>
    <t>- Is empire
- Avaria owns all provinces in the areas Alföld, Transdanubia, Slovakia, 
Northern Transylvania, and Southern Transylvania.</t>
  </si>
  <si>
    <t>Playing as Byzantium</t>
  </si>
  <si>
    <t>- is Byzantium*or* the Roman Empire
- has never formed the Latin Empire[1]
- Own and core the following provinces:</t>
  </si>
  <si>
    <t>Playing as Navarra</t>
  </si>
  <si>
    <t>- It is *not* the Age of Absolutism or the Age of Revolutions
- At least 32 provinces in Iberia have Basque culture</t>
  </si>
  <si>
    <t>- *Not* playing as a released vassal
- Is France
- Own and core 100 provinces in Europe
- The year is before 1500</t>
  </si>
  <si>
    <t>Most used route is attacking Scandinavia or Balkans. Make sure to conquer 
low-development provinces to limit AE.</t>
  </si>
  <si>
    <t>All provinces following an Eastern religion are owned by Korea*or* its 
non-tributary subjects.</t>
  </si>
  <si>
    <t>The Eastern religions are Theravada, Vajrayana, Mahayana, Confucian, and 
Shinto. Due to Ming's size and power it is best to become their tributary 
and go after all other nations around before attempting to attack them. 
The province Kuma (2417) in the Pontic Steppe can turn Vajrayana Vajrayana 
due to the event which spawns Kalmyk.</t>
  </si>
  <si>
    <t>Playing as Kandy</t>
  </si>
  <si>
    <t>- Is Kandy
- Be production leader of cotton</t>
  </si>
  <si>
    <t>The Indian sub-continent already has the highest concentration of 
cotton-producing provinces in the game, so this achievement is best 
partnered with The Buddhists Strike Back.</t>
  </si>
  <si>
    <t>- Finland has been released in 1444
- Is *or* was Finland
- Capital is Nyland(28)
- Owns Cape(1177)
- There exists a land connection of owned provinces between the capital 
and Cape(1177)</t>
  </si>
  <si>
    <t>The land connection can go over strait crossings (it is recommended to 
avoid taking Suez as to not anger the Ottomans). Finland must be released 
in 1444, but you do not have to play as them in 1444. Consider making them 
a vassal, feeding them the provinces required, annexing them, the releasing 
and playing as them after annexing them. This gives you access to the 
Sweden mission tree and power base to work with.</t>
  </si>
  <si>
    <t>- Is Mann
- Own *or* have non-tributary subjects own all provinces which are on an 
island.</t>
  </si>
  <si>
    <t>Mann can't be selected as a country in 1444, you must release it as a 
vassal and choose the option to play as a released vassal. 
As England release Mann at the very start of the game. After 10 years you 
can annex them again. As the annexation progresses grant them your 
provinces bit by bit before the process hits 100%. You can even move your 
capital to continental Europe and give London to Mann. Be careful about 
France as they will likely attack you once you are weakened. After 
annexation is finished spend all your monarch points to boost provinces 
that Mann considers as a core. Now release Mann again and chose to play as 
a released vassal. 
Alternatively, sabotage England as much as possible, such as releasing all 
releasable nations, leaving Mann for last. Release and play as them, then 
ally all other released nations, plus a major like Castile. Take London, 
Sussex, and Kent in your first war and you should be off to a great start.</t>
  </si>
  <si>
    <t>- Playing as a custom nation
- Only 1 custom nation exists in the world
- Used no more than 201 nation designer points
- *Not* using a random New World.
- Is in western technology group
- Capital is on the North or South American continent.</t>
  </si>
  <si>
    <t>- *Not* playing as a released vassal
- Owns or has a core on all habitable land provinces in the continents 
of North and South America</t>
  </si>
  <si>
    <t>There must not be any empty provinces in the Americas, but it is not 
necessary to finish the colonies. Let the Colonial Nations do most of the 
job; their overlords will usually not defend them in a war. Only native 
provinces give overextension; this means you are able to annex the Colonial 
Nations in one war, but do the war before they break free. Provinces which 
you own don't have to be cored, so you can leave provinces uncored if they 
don't give OE. When designing your custom nation, by far the most important 
idea you can choose to include is the (unrecognized string “may establish 
siberian frontiers” for Template:Icon)*May establish Siberian frontiers* 
diplomatic idea, since frontiers aren't limited in number in the same way 
that standard colonization is: this will allow you to expand extremely 
rapidly across the continent at the cost of diplomatic power.</t>
  </si>
  <si>
    <t>Playing as Orissa</t>
  </si>
  <si>
    <t>All provinces with tropical wood are owned by the player's country or its 
non-tributary subjects. 
Provinces producing tropical wood at game start (orange) and uncolonized 
provinces capable of producing tropical wood (yellow)</t>
  </si>
  <si>
    <t>Playing as Novgorod</t>
  </si>
  <si>
    <t>Have 90% trade share in White Sea and it's the highest valued trade node 
in the world.</t>
  </si>
  <si>
    <t>- Note that "highest valued trade" means Total trade value *minus* 
outgoing trade.
- Not too difficult once you become powerful. You should be able to 
steer most Asian trade towards the white sea. Trade and plutocratic ideas 
can be helpful, but are not necessary : trade companies, the Great Russian 
Federation reform, and monuments like Bam citadel will provide you as many 
merchants as you need. Building manufactories (not workshops) in downstream 
nodes like Girin, Beijing, Yumen, etc. will increase the trade value 
downstream drastically. Note that England gets an event (« The Muscovite 
trade company ») that gives them permanent +20 trade power in the White 
Sea ̦; it can be counterbalanced by building lots of light ships.</t>
  </si>
  <si>
    <t>Playing as Theodoro</t>
  </si>
  <si>
    <t>- *Not* playing as a released vassal
- All provinces with *Germanic* culture group in Europe owned by Theodoro
- Culture is either: 
- *Gothic* from the Byzantine culture group
- *Gothic* from the Germanic culture group</t>
  </si>
  <si>
    <t>Forming other nations will make this achievement much more difficult, 
because then all *Germanic* cultured provinces in Europe have to be 
converted to another culture to fulfill the requirements. This does not 
apply if the formed country is a Former colonial nation formable and 
Theodoro still has provinces in the old world, because forming such a 
country as Theodoro keeps Theodoro alive so the achievement can still be 
fulfilled by feeding all *Germanic* provinces in Europe to Theodoro if they 
are later vassalized. Note though that playing as a released colonial 
nation doesn't work, because it counts as playing as a released vassal.</t>
  </si>
  <si>
    <t>Playing as Perm</t>
  </si>
  <si>
    <t>- *Not* playing as a released vassal
- Is Perm
- All provinces in the Canada, Cascadia, Hudson Bay, East Siberia, West 
Siberia, Scandinavia, Russia and Ural regions are owned by Perm*or* its 
non-tributary subjects.</t>
  </si>
  <si>
    <t>- Has Steppe Nomad or Great Mongol State reform
- 200 provinces produce grain *or* livestock</t>
  </si>
  <si>
    <t>- Playing as The Isles
- *Not* using a random New World</t>
  </si>
  <si>
    <t>- The year is before 1500
- owns at least 20 fully colonized provinces(cities) that are *not*on an 
island</t>
  </si>
  <si>
    <t>it is allowed to have provinces on islands, but these don't count towards 
the 20. Islands in the context of this achievement means any province which 
does not have a land connection to mainland continents, meaning any 
province in Britain or Ireland will not count. Unfinished colonies also 
don't count. An easy way to achieve this is to wait until one of the berber 
nations is without allies and noCB them. You can core Moroccan and Sus 
provinces with extended range from exploration ideas and the colonial range 
advisor. From there, you can keep eating North Africa, or go to West 
Africa. The provinces do not need to be cored.</t>
  </si>
  <si>
    <t>- Playing as Najd
- Religion is Sunni</t>
  </si>
  <si>
    <t>- Own *500* provinces with Sunni religion
- Is Sunni</t>
  </si>
  <si>
    <t>Easier to achieve as many new provinces were added to the game since 
release.</t>
  </si>
  <si>
    <t>- It is *not* the Age of Absolutism or the Age of Revolutions
- Is the Mongol Empire</t>
  </si>
  <si>
    <t>Playing as Trebizond</t>
  </si>
  <si>
    <t>- *Not* playing as a released vassal
- Is Trebizond
- Is empire</t>
  </si>
  <si>
    <t>Possible tactics include trying to become the emperor of the HRE or 
culture-shifting to Bulgarian and enacting Bulgarian Tsardom government, as 
these will immediately make you an empire.</t>
  </si>
  <si>
    <t>Playing as Saxony</t>
  </si>
  <si>
    <t>- *Not* playing as a released vassal
- Is Saxony
- All provinces with chinaware are owned by Saxony or its non-tributary 
subjects.</t>
  </si>
  <si>
    <t>Chinaware appears in China, Japan, Korea and the East Indies.</t>
  </si>
  <si>
    <t>Playing as Nevers</t>
  </si>
  <si>
    <t>- Is Nevers
- Own and have cores on every province in the France region.</t>
  </si>
  <si>
    <t>- Playing as Deli
- *Not* using a random New World</t>
  </si>
  <si>
    <t>- Is Deli
- Capital is Delhi (522)</t>
  </si>
  <si>
    <t>This achievement is only visible if the Leviathan DLC is active, but it can 
be achieved even without the DLC. 
Can be done in 5–10 years, depending on RNG. Broadly: get as many allies as 
you can to deter coalition. Vassalize an OPM adjacent to Delhi, preferably 
Garhwal or Sirmur to even the AE. Then conquer Delhi (and some needed to 
connect). Give every other territories to vassals, or sell them to other 
countries. In a war, lose your capital Riau, after that Delhi will be the 
new capital.</t>
  </si>
  <si>
    <t>Own or have a non-tributary subject own all provinces with naval supplies.</t>
  </si>
  <si>
    <t>Before patch 1.36.2, it was required that the provinces were owned by Norway 
or Norway's subjects, but since patch 1.36.2, they have to be owned by the 
player's country and its subjects, so the player can form any country and 
still get the achievement without having to get Norway back on the map.</t>
  </si>
  <si>
    <t>- Playing as Quizquiz
- *Not* using a random New World</t>
  </si>
  <si>
    <t>- Is Quizquiz
- Capital is Anjou (178)</t>
  </si>
  <si>
    <t>This achievement is only visible if the Leviathan DLC is active, but it can 
be achieved even without the DLC.</t>
  </si>
  <si>
    <t>- No owned province has more than 10 development at the start of the game</t>
  </si>
  <si>
    <t>- No owned province has more than 10 development
- No other country has a higher income than this country</t>
  </si>
  <si>
    <t>One possible start is Norway. Stay as a vassal under Denmark for 
protection, rush expansion ideas, then get exploration after you reach 
diplomatic tech 7, and colonize Newfoundland from there, triggering the 
Grand Banks Fisheries which will power your colonial nation of Vinland. 
After Vinland forms, you can release and choose to play as them well within 
the time-frame of Denmark beginning integration, bypassing the PU. From 
there, expand and build as many manufactories as possible, swapping into 
Canada or Quebec's ideas, or even the USA. An important thing to note is 
that you can have a 10+ development province after the start of the 
campaign, but not during the month you're trying to count the highest 
income. 
A great alternative start is Wolgast. Play the regular HRE game, expanding 
into Denmark and Russia. Exploit all provinces within 10-20 development 
(requires Cradle of Civilization), boost development of all provinces below 
10. Eventually, your income from flat 10 dev provinces will be the highest 
in the world, especially if you consider expanding into the west and taking 
control over the Channel. Keep all high dev provinces like Lübeck under 
vassals. 
Another good variant is Kilwa. Having Feudalism makes your country a 
dominant power in region, and you can easily expand. Almost all conquered 
provinces have development below 11 dev, so you will not need to exploit 
them (it takes much time). You can get 5 provinces with gold at the start 
and another 2 in Ethiopia. Other provinces also have good resources like 
ivory. Also your home trade nodes (Zanzibar and Cape) are convenient for 
collecting – you can increase income by steering trade from India and 
Malacca. At the start you should rush to admin tech 5 and get colonists for 
colonizing coasts (especially Cape) before the Europeans. 
The game does its check for highest income on every monthly tick meaning 
you could release nations from all your provinces with more than ten 
development and still get the achievement even if the next monthly tick 
would see your income drop tremendously as long as on the previous month 
tick, you had the highest income.</t>
  </si>
  <si>
    <t>Playing as Nagaur</t>
  </si>
  <si>
    <t>- *Not* playing as a released vassal
- All provinces in North Germany and South Germany regions are owned by 
the player's country *or* its non-tributary subjects.</t>
  </si>
  <si>
    <t>One possible start is to quickly ally Jaunpur and then call them in against 
Delhi, who are weak at the start due to large disloyal vassal Sirhind. Take 
the provinces of Delhi, Sirhind, Lahore, and connecting provinces. You can 
then reform Delhi once they're wiped out, which will give you several 
hundred development of cores for free as well as a fairly strong idea set 
and mission tree. You can later culture-shift and form Mughals for an even 
stronger idea set and tree. Alternatively you can form Rajputana and maybe 
even Hindustan. With a strong power base, you are ready to expand northwest 
to Germany.</t>
  </si>
  <si>
    <t>Playing as Hisn Kayfa</t>
  </si>
  <si>
    <t>You will most likely not be able to ally the Ottomans at start. One 
strategy is to restart until Aq Qoyunlu is friendly, and allying them along 
with. Try to ally Ajam, Mamluks and attack Qara Qoyunlu together. You can 
ally these two at start. If they pick QQ as a rival, and you pick "Lenient 
taxation" Iqta ability (that gives +1 diplomatic reputation; requires Cradle 
of Civilization).</t>
  </si>
  <si>
    <t>Playing as Ardabil</t>
  </si>
  <si>
    <t>- *Not* playing as a released vassal
- Is Persia*or*Eranshahr</t>
  </si>
  <si>
    <t>It's possible to get Bahmanis in India as an ally by improving relations 
until you can royal marry them (which removes their "Unknown") relations 
modifier. This will deter nearby attackers as you expand opportunistically.</t>
  </si>
  <si>
    <t>Playing as Offaly</t>
  </si>
  <si>
    <t>- Lead a personal union over a country whose capital fulfills both of 
the following conditions: 
- is in the Iberia region
- has a province culture in the Iberian culture group</t>
  </si>
  <si>
    <t>Forming Ireland or another country *will not* prevent the achievement but 
instead only hiding its conditions. Take a single Spanish province with a 
core of another tag and release that tag as a vassal. Place dynasty member 
on the throne and annex the vassal. Return their core via the province 
screen to release them as an independent nation with your dynasty ruling. 
Claim their throne, immediately declare with restoration of union CB and 
enforce union for the achievement. 
It is also possible to obtain a "Restoration of Union" casus belli on Spain/
Castile by forming France and completing the mission French Claim to Naples 
(requires having the Emperor DLC activated and the Domination not active).</t>
  </si>
  <si>
    <t>Playing as Aztec</t>
  </si>
  <si>
    <t>Own and core the provinces of Lisboa, Madrid, Paris, London, Amsterdam, 
and Roma.</t>
  </si>
  <si>
    <t>As a New World country European overlords will not automatically join 
defensive wars against their colonies by you, establish a power base in 
North America, then you can either get allies (unlikely as most will desire 
your gold provinces too much) or an effective strategy is try to trigger a 
defensive war, or attack a colonial province still controlled by the 
overlord. In the following peace treaty take European provinces from them, 
that way you can easily ship over your elite troops in peace time without 
the need to also build up a large armada. With the Unrestricted Conquest ability 
from the Age of Revolutions you can take any province making it easy to 
take capitals without the need of conquering a lot of adjacent provinces.</t>
  </si>
  <si>
    <t>Playing as *either*: 
- Kotte
- Kandy</t>
  </si>
  <si>
    <t>- *Not* playing as a released vassal
- Own and core all of the provinces in the Indian sub-continent.
- All of the provinces in the Indian sub-continent are Theravada</t>
  </si>
  <si>
    <t>Taking the province of Pataliputra will give an extra missionary. The 
monuments Bagan Temples and Buddha Statues give additional missionaries. If 
playing as Kandy, you'll likely also get the achievement Cotton Kandy.</t>
  </si>
  <si>
    <t>Playing as Fezzan</t>
  </si>
  <si>
    <t>Have at least 90% trade power in Katsina, Safi, Timbuktu and Tunis trade 
nodes</t>
  </si>
  <si>
    <t>Will likely require conquering (or at least occupying) much of Spain to 
prevent upstream trade power transfers to Tunis and Safi from Seville and 
Valencia.</t>
  </si>
  <si>
    <t>Playing as *either*: 
- Great Horde
- Mongolia</t>
  </si>
  <si>
    <t>All provinces in the China subcontinent, and the Pontic Steppe, Russia, 
Ural, Persia and Khorasan regions are owned by the player's country *or* 
its non-tributary subjects.</t>
  </si>
  <si>
    <t>The Caucasia region is not needed even though it gets highlighted by the 
in-game achievement list.</t>
  </si>
  <si>
    <t>Playing as Gorkha</t>
  </si>
  <si>
    <t>- Is Nepal
- Prussia must have lost at least 100,000 men in battles against Nepal 
in one war with both as primary participants</t>
  </si>
  <si>
    <t>The game only counts the losses in battles which show Prussia's flag in the 
battle list at the bottom of the war overview screen. If there are other 
countries on Prussia's side, battles which show their flag are not counted. 
But their losses are counted in battles which show Prussia's flag. 
Brandenburg or Teutonic Order can form Prussia even when subjects, though 
they'll still need to be Protestant or Reformed. If Prussia doesn't form 
naturally, you can create them by vassalizing one of the above tags and 
giving them the required provinces, helping them grow large enough to field 
a lot of troops and declaring war on them once they form Prussia.</t>
  </si>
  <si>
    <t>Playing as Granada</t>
  </si>
  <si>
    <t>- Is Andalusia
- Own and core all provinces of Iberia</t>
  </si>
  <si>
    <t>Optimal strategy is to start expanding to north Africa by picking weak 
targets like Tlemcen and Tunis. After the initial expansions, secure an 
alliance with either Ottomans or Mamluks as soon as possible. Colonizing 
North America early can boost your income and drastically weaken the 
economy of Spain.</t>
  </si>
  <si>
    <t>Religion is Ibadi</t>
  </si>
  <si>
    <t>- *Not* playing as a released vassal
- Is Ibadi
- No province is Sunni or Shia.</t>
  </si>
  <si>
    <t>Possible starts are Mzab, Oman, and Pate. Uncolonized provinces with Muslim 
religion (south of Morocco, Tunis and Ethiopia) must also be colonized and 
converted to Ibadi. With Golden Century, European countries like Spain and 
Portugal can convert provinces in the colonial regions to Islam by 
expelling minorities. Those provinces must be converted to Ibadi as well.</t>
  </si>
  <si>
    <t>- *Not* playing as a released vassal
- Is Persia*or*Eranshahr
- All provinces in the regions Anatolia and Egypt and the areas Morea, Northern 
Greece, and Macedonia are owned and cored by Persia*or*Eranshahr.</t>
  </si>
  <si>
    <t>Persia can be formed by a nation whose primary culture is in the Iranian 
culture group, or by Aq Qoyunlu and Qara Qoyunlu . 
Before patch 1.36.2, this achievement was only possible as Persia and not 
as Eranshahr.</t>
  </si>
  <si>
    <t>- Is Songhai
- Have Prussia*and*Nepal as marches.</t>
  </si>
  <si>
    <t>This achievement is only visible if the Origins DLC is active, but it is 
possible to get the achievement without that DLC. 
Songhai has a strong starting position, the main difficulty is making sure 
both Prussia and Nepal exist. Note that only Prussia can be formed by a 
subject nation, so you are better off giving a Nepali minor the required 
provinces by calling them to war as ally before subjugating them.</t>
  </si>
  <si>
    <t>Playing as Dahomey</t>
  </si>
  <si>
    <t>- The year is before 1500
- All colonised provinces in the Niger and Sahel regions are owned by a Fetishist 
nation.</t>
  </si>
  <si>
    <t>- The owner must be Fetishist, not the province. Possible to do by 
feeding lots of land to a Sunni vassal and then enforcing religion.</t>
  </si>
  <si>
    <t>The only existing countries are the player's country and its direct 
non-tributary subjects and their non-tributary subjects.</t>
  </si>
  <si>
    <t>- Subjects of subjects count as long as they are not tributaries (e.g., 
Colonies of a client state or Vassals of a personal union). But colonial 
nations of a vassal of a junior partner don't count, because they are 
subjects of a subject of a subject.</t>
  </si>
  <si>
    <t>- Is Portugal
- All provinces in Europe are owned by one of the following countries: 
- Portugal
- Avaria
- Bavaria
- Bourbonnais
- Bremen
- Dithmarschen
- Dortmund
- Flanders
- France
- Glogow
- Herzegovina
- Hesse
- Imereti
- Ingolstadt
- Karaman
- Landshut
- Lorraine
- Mecklenburg
- Munich
- Naxos
- Norway
- Odoyev
- Perugia
- Provence
- Prussia
- Saluzzo
- Sardinia-Piedmont
- Sweden
- The Knights
- The Palatinate
- Thuringia
- Trebizond
- Tyrconnell
- Urbino
- Venice</t>
  </si>
  <si>
    <t>Note that Bavaria, Prussia and Sardinia-Piedmont count even though they 
don't exist in 1444. 
Make sure that none of the blue countries fulfill the conditions to form 
something which is not allowed.</t>
  </si>
  <si>
    <t>Playing as Frankfurt</t>
  </si>
  <si>
    <t>- Was Frankfurt
- Was Jerusalem
- Is Inca
- Own Mallorca (333)</t>
  </si>
  <si>
    <t>- Hardest part of this achievement is finding and fulfilling conditions 
for different tag formation.
- To form Jerusalem, you need to get into coring range of Jerusalem area 
(vassalize an Italian minor and conquer a province next to it), own and 
state Jerusalem area, move capital to Arabia, Egypt or Mashriq and switch 
from Republic to Monarchy. And this has to be done before the Age of 
Reformation ends, because Frankfurt can't form Jerusalem later.
- To form Inca you need to move your capital to the New World, own cores 
on required provinces, culture shift to Andean culture and change your 
religion to a pagan faith via rebels.
- Switching to play as a released vassal will invalidate the achievement.</t>
  </si>
  <si>
    <t>Playing as Kale</t>
  </si>
  <si>
    <t>- It is *not* the Age of Absolutism or the Age of Revolutions
- Every province in Asia with Grasslands terrain is owned by the 
player's country *or* its non-tributary subjects
All grassland provinces in Asia</t>
  </si>
  <si>
    <t>It is not required to keep playing as Kale to earn the achievement, but 
changing tag will hide it from the achievement tab. 
Start by subjugating and allying all Shan minors to complete the mission 
"Unite the Shan" to inherit them all and gain free cores (don't conquer any 
province from them as these would needlessly have to be cored; best to 
fully annex Ava and inherit all their tributaries). To limit AE and help 
with the endless conquests to come it is recommended you switch to horde 
government first, which is you should form Tibet and do the "Steppe 
Politics" mission. After choosing to invite one of the two Mongols switch 
culture back to Shan. Conquer enough of Indochina to form Siam for the 
ideas. 
Take Horde Ideas then Expansion then Diplomatic Ideas, don't delay 
colonizing Siberia. The colonies in the grassland provinces don't have to 
be finished, but you need to finish 3 colonies to reach the farthest 
province (2 if you conquer Onan Gol(1058) in Mongolia or Albazin (2102) in 
Manchuria instead of colonizing from the coast). 
The can be delayed by 30 years by ensuring that the highest valued trade 
node in the world contains no centers of trade at level 2 or higher, and no 
capital provinces.</t>
  </si>
  <si>
    <t>No colonized non-wasteland province has a different religion than this 
country.</t>
  </si>
  <si>
    <t>- Using the random new world will drastically reduce the number of 
provinces, especially inland ones, making this easier than with the true 
new world.
- Uncolonized provinces may still be of a different religion.
The easiest choice is either Austria or Ottomans, as both tags can conquer 
the world easily and have religions that have lots of missionaries and 
missionary strength buffs. The hardest faiths to One Faith with are the 
Pagan faiths (Animist, Tengri…), and Confucian with Mandate of Heaven. If 
playing as a Fetishist or Hindu nation, choose Buddhadharma or Buddha, 
respectively, to be able to use the Buddha statues and Pagan temples. Najd 
is a possible starting nation, since its ideas are religiously focused, 
including access to +2 missionaries and +2% missionary strength, as well as 
its starting religion of Sunni granting *−2%* local missionary strength 
which would make these provinces harder to convert. Possible to combine 
with Jihad.</t>
  </si>
  <si>
    <t>- Playing as Ryukyu
- *Not* using a random New World.</t>
  </si>
  <si>
    <t>- The only existing countries are: 
- the player's country,
- Ryukyu and its subjects, but *not*tributary states.</t>
  </si>
  <si>
    <t>Note that it is possible to form another country, but only if you do a true 
one-tag (ruling the world directly without vassals or colonial subjects). 
If you stay Ryukyu, subjects are allowed.</t>
  </si>
  <si>
    <t>- Playing as one of the following: 
- Afghanistan
- Sistan
- Transoxiana
- Khorasan
- Fars</t>
  </si>
  <si>
    <t>- Is Mughals
- The year is before 1550
- Every province in India superregion is owned by the country or a 
subject other than a tributary</t>
  </si>
  <si>
    <t>Easier in recent patches than when added. The strongest contenders are 
Afghanistan, which is the closest to India, and Transoxiana, which starts 
the strongest. Recommended ideas include Administrative for extremely cheap 
coring and Diplomatic to manage aggressive expansion and to truce break 
more easily if necessary.</t>
  </si>
  <si>
    <t>Playing as the Ottomans</t>
  </si>
  <si>
    <t>- The year is before 1500
- 425 of the following provinces are owned by this country or a subject 
of type Core Eyalet:
Needed provinces to form the Roman Empire</t>
  </si>
  <si>
    <t>- Complete the Sunni or Shia or Zoroastrian version of the Persian 
missions</t>
  </si>
  <si>
    <t>- Playing as Byzantium
- Religion is Orthodox</t>
  </si>
  <si>
    <t>- Is Byzantium or the Roman Empire
- Religion is Orthodox
- The following provinces are cored and follow the Orthodox faith: 
- Roma (118)
- Constantinople (151)
- Alexandria (358)
- Antioch (2313)
- Jerusalem (379)
- has never formed the Latin Empire[1]</t>
  </si>
  <si>
    <t>- Playing as Karabakh</t>
  </si>
  <si>
    <t>- Religion is Coptic
- Owns core provinces following the Coptic faith:
- 
- Erzurum (331)
- Yerevan (419)
- Melikates (2202)
- Nakhchivan (2205)
- Erzincan (2305)
- Van (2307)
- Mush (2306)
- Bayazid (2306)
- Adana (327) 
1 province in each of the following areas is owned, cored, and follows the 
Coptic faith: 
- 
- Azerbaijan
- Shahrizor
- Al Jazira
- Dulkadir
- Aleppo
- Syria
- Syrian Desert</t>
  </si>
  <si>
    <t>If you can get Mamluks to support your independence, the first war is 
relatively easy. Once you've grown moderately, try to get European allies 
as soon as possible to help taking provinces from Ottomans and Mamluks.</t>
  </si>
  <si>
    <t>- Capital in the Arabia region
- Is tribal</t>
  </si>
  <si>
    <t>- Has granted the Burghers privilege "Oasis Development"
- Provinces in the Arabia region that have Desert or Coastal Desert 
terrain: 
- Have at least 1000 total development</t>
  </si>
  <si>
    <t>"Oasis Development" privilege requires the Arabian mission "The Harsh 
Desert" to be completed. Note that while not mentioned in the description, 
only the development of Desert and Coastal Desert provinces is counted for 
the purposes of this achievement. This means that only 44 provinces are 
valid to develop, requiring a average of 23 (22.7) development in each of 
these provinces.</t>
  </si>
  <si>
    <t>- Is *or* was the Mamluks
- Has used the "Export Grain" diplomatic action on at least one country 
on each of the following continents:
- 
- Europe
- Oceania
- North America
- South America
- Africa
- Asia</t>
  </si>
  <si>
    <t>The country's continent is determined based on the location of its capital. 
To use "Export grain", the target must be a subject or ally of the Mamluks. 
This can be an issue in the colonial regions. Its thus recommended to 
colonize yourself.</t>
  </si>
  <si>
    <t>Is Aq Qoyunlu or Qara Qoyunlu</t>
  </si>
  <si>
    <t>- Is Aq Qoyunlu or Qara Qoyunlu
- Has an alliance with Ramazan
- Has a royal marriage with Ramazan</t>
  </si>
  <si>
    <t>Can be achieved in a little over a month. Take out a loan, send 50 ducats 
to Ramazan, send a scornful insult to one of their rivals, then send an 
alliance offer after a month. Ramazan should send you a marriage offer 
within a few days.</t>
  </si>
  <si>
    <t>Is Byzantium</t>
  </si>
  <si>
    <t>- Is Byzantium or the Roman Empire
- Owns core province Venezia (112)
- Venice does *not* exist
- has never formed the Latin Empire[1]</t>
  </si>
  <si>
    <t>Reforming Byzantium from another country does not allow for the 
achievement.</t>
  </si>
  <si>
    <t>- Is Georgia
- Has the following countries (or countries formed by them) as vassals:
- 
- Genoa
- Aragon
- England
- Trier
- All provinces in the Wales area: 
- Are owned by the country or its non-tributary subjects</t>
  </si>
  <si>
    <t>If one of the countries forms another country(e.g. England forms Great 
Britain), the new country can be vassalized to get the achievement. If one 
of the countries dies, care must be taken that the cores don't expire, 
especially for Trier which is not the primary tag of its culture.</t>
  </si>
  <si>
    <t>Is Austria</t>
  </si>
  <si>
    <t>- Is Persia*or*Eranshahr
- Has completed the mission A New Eranshahr mission
- Has completed the An Asha Empire mission</t>
  </si>
  <si>
    <t>- Is *not* playing with a Random New World</t>
  </si>
  <si>
    <t>Has completed the following missions: 
- *“Rule of the Sun”*
- *“Contact the Oracle”*
- *“Defeat the Wanka”*
- *“Our Chimuan Rivals”*
- *“The Ground Shaker”*
- *“Conquer Cajamarca”*
- *“Take Over Quito”*
- *“Defy the Qollans”*
- *“Seize Southern Fringes”*
- *“Recruit the Chanka”*
- *“Seize the Chincha”*
- *“Down the Altiplano”*
- *“Promote Runasimi”*
- *“Development of the Mitma”*
- *“Awka Kamayuq”*
- *“The Big Ears”*
- *“The Zeq'e System”*
- *“The Oracle of Pachacamac”*
- *“Four Quarters Together”*
- *“The Qollqas”*
- *“Construct New Kallanka”*
- *“The Solar Cult”*
- *“Reform Religion”*
- *“Temples to Viracocha”*
- *“Imperial Infrastructure”*
- *“Qhapaq Ñan”*
- *“Imperial Frontiers”*
- *“Incan Terracing”*
- *“Idols of our Subjects”*
- *“Among the Mountaintops”*
- *“Navel of the Universe”*
- *“Haucaypata”*
- *“Collect the Mita”*
- *“Sweat of the Sun”*
- *“Tears of the Moon”*
- *“Renovate Cuzco”*
- *“Secondary Capital”*
- *“Incan Weaving”*
- *“Expand into the Jungle”*
- *“Recruit Bowmen”*</t>
  </si>
  <si>
    <t>- Is Venice</t>
  </si>
  <si>
    <t>- Is Economic Hegemon</t>
  </si>
  <si>
    <t>- Is Bohemia</t>
  </si>
  <si>
    <t>- Is the Holy Roman Emperor
- The Holy Roman Empire's official religion is Hussite
- The religion of the Holy Roman Empire is fixed</t>
  </si>
  <si>
    <t>Hussite can become the official religion in the imperial incident "*The 
Hussite Protest*", which gets triggered if hussite countries own at least 
80% as many HRE provinces as non-hussite countries when the event *The 
Evangelical Union is Victorious* happens.</t>
  </si>
  <si>
    <t>- Is Hisn Kayfa</t>
  </si>
  <si>
    <t>- Land force limit is at least 500</t>
  </si>
  <si>
    <t>- Religion is Mayan</t>
  </si>
  <si>
    <t>- Is *or* was Maya
- All provinces in the Banten, East Java, Central Java, Surabaya &amp; West 
Java areas, except Madura (2692): 
- Province is owned by the player's country *or* its non-tributary 
subjects</t>
  </si>
  <si>
    <t>- Has enacted the Steppe Nomads government reform</t>
  </si>
  <si>
    <t>- This country has enacted one of the following government reforms: 
- Steppe Nomads
- Great Mongol State
- No other country has enacted one of the following government reforms: 
- Steppe Nomads
- Great Mongol State
- *countries which switched their government type through government 
reforms (e.g. by enacting The Great Plains call to us) or enacted Become 
Horde are not counted*</t>
  </si>
  <si>
    <t>- Is Mughals
- Has enacted the Mughal Diwan government reform
- Has assimilated at least *12* culture groups</t>
  </si>
  <si>
    <t>- The country is *or* was Netherlands
- Owns all provinces in the Low Countries region
- Has at least 50% fort defense</t>
  </si>
  <si>
    <t>Defensive idea 5 gives *35%* fort defense, having a military engineer 
advisor gives another *20%*, and having *50* power projection gives the 
last *5%*</t>
  </si>
  <si>
    <t>- Is Timurids</t>
  </si>
  <si>
    <t>- Prestige is at least *+75*
- Has at least 5 allies with 100 trust which have at least *+150* 
opinion of our country</t>
  </si>
  <si>
    <t>The allies which have the trust have to be the same allies which have the 
opinion 
Trust can be gained by honoring calls to arms or by using the *Influence 
nation* interaction as a great power, or with The Cossacks or Leviathan by 
trading favors for trust. If neither The Cossacks nor Leviathan are active, 
trust with allies grows slowly over time.</t>
  </si>
  <si>
    <t>- Is Hungary</t>
  </si>
  <si>
    <t>- Any hired mercenary company: 
- Is *“Black Army”*
- Is *“Black Army Reserves”*
- Has won at least *23* battles with these mercenary companies.
- For each enemy country, only a maximum of *3* battles are counted</t>
  </si>
  <si>
    <t>If there are multiple countries on the same side in the battle, only the 
country which is first in the tag order counts. Doesn't count battles 
fought when rented out as condottieri. The *“Black Army”* can be unlocked in 
the following ways, some of which also unlock the *“Black Army Reserves”*:</t>
  </si>
  <si>
    <t>Notes1</t>
  </si>
  <si>
    <t>Notes2</t>
  </si>
  <si>
    <t>Top 10 rarest</t>
  </si>
  <si>
    <t>Difficulty (nb)</t>
  </si>
  <si>
    <t>#</t>
  </si>
  <si>
    <t>unique_perct_1</t>
  </si>
  <si>
    <t>unique_perct_2</t>
  </si>
  <si>
    <t>unique_perct_3</t>
  </si>
  <si>
    <t>unique_diff_1</t>
  </si>
  <si>
    <t>unique_perct_3_done</t>
  </si>
  <si>
    <t>Top 10 rarest done</t>
  </si>
  <si>
    <t>unique_perct_3_not_done</t>
  </si>
  <si>
    <t>unique_diff_1_done</t>
  </si>
  <si>
    <t>unique_diff_1_not_done</t>
  </si>
  <si>
    <t>Top 10 rarest not done</t>
  </si>
  <si>
    <t>Top 10 hardest done</t>
  </si>
  <si>
    <t>Top 10 hardest</t>
  </si>
  <si>
    <t>Top 10 hardest not done</t>
  </si>
  <si>
    <t>Top 10 most common not done</t>
  </si>
  <si>
    <t>unique_perct_3_E</t>
  </si>
  <si>
    <t>unique_perct_3_M</t>
  </si>
  <si>
    <t>unique_perct_3_H</t>
  </si>
  <si>
    <t>Top 10 E (easy) not done</t>
  </si>
  <si>
    <t>Top 10 M (medium) not done</t>
  </si>
  <si>
    <t>Top 10 H (hard) not done</t>
  </si>
  <si>
    <t>Kazan/Nogai</t>
  </si>
  <si>
    <t>try2</t>
  </si>
  <si>
    <t>Great Horde</t>
  </si>
  <si>
    <t>Mzab</t>
  </si>
  <si>
    <t>Bohemia</t>
  </si>
  <si>
    <t>Najd</t>
  </si>
  <si>
    <t>Sweden</t>
  </si>
  <si>
    <t>Points</t>
  </si>
  <si>
    <t>point multiplier</t>
  </si>
  <si>
    <t>Total Points</t>
  </si>
  <si>
    <t>Total points done</t>
  </si>
  <si>
    <t>Progression</t>
  </si>
  <si>
    <t>Top 10 VE (very easy) not done</t>
  </si>
  <si>
    <t>unique_perct_3_VE</t>
  </si>
  <si>
    <t>Austria</t>
  </si>
  <si>
    <t>France</t>
  </si>
  <si>
    <t>Narcissism</t>
  </si>
  <si>
    <t>Riga</t>
  </si>
  <si>
    <t>Hisn Kayfa</t>
  </si>
  <si>
    <t>run value</t>
  </si>
  <si>
    <t>Achiev. done</t>
  </si>
  <si>
    <t>Wallachia</t>
  </si>
  <si>
    <t>Karabakh</t>
  </si>
  <si>
    <t>England</t>
  </si>
  <si>
    <t>Aragon</t>
  </si>
  <si>
    <t>Augsburg</t>
  </si>
  <si>
    <t>Nevers</t>
  </si>
  <si>
    <t>Florence</t>
  </si>
  <si>
    <t>Byzantium</t>
  </si>
  <si>
    <t>Taungu</t>
  </si>
  <si>
    <t>Mulhouse</t>
  </si>
  <si>
    <t>Navarra</t>
  </si>
  <si>
    <t>Ryukyu</t>
  </si>
  <si>
    <t>Huastec</t>
  </si>
  <si>
    <t>Portugal</t>
  </si>
  <si>
    <t>Castille</t>
  </si>
  <si>
    <t>Provence</t>
  </si>
  <si>
    <t>Naples</t>
  </si>
  <si>
    <t>Dahomey</t>
  </si>
  <si>
    <t>Jianzhou</t>
  </si>
  <si>
    <t>Venice</t>
  </si>
  <si>
    <t>Ryazan</t>
  </si>
  <si>
    <t>Pskov</t>
  </si>
  <si>
    <t>Odoyev</t>
  </si>
  <si>
    <t>Perm</t>
  </si>
  <si>
    <t>Novgorod</t>
  </si>
  <si>
    <t>Norway</t>
  </si>
  <si>
    <t>Custom</t>
  </si>
  <si>
    <t>Tokugawa</t>
  </si>
  <si>
    <t>Hungary</t>
  </si>
  <si>
    <t>Knights</t>
  </si>
  <si>
    <t>Burgundy</t>
  </si>
  <si>
    <t>Aksum</t>
  </si>
  <si>
    <t>Andalusia</t>
  </si>
  <si>
    <t>Angevin Kingdom</t>
  </si>
  <si>
    <t>Arabia</t>
  </si>
  <si>
    <t>Australia</t>
  </si>
  <si>
    <t>Bharat</t>
  </si>
  <si>
    <t>Brazil</t>
  </si>
  <si>
    <t>Canada</t>
  </si>
  <si>
    <t>Commonwealth</t>
  </si>
  <si>
    <t>Eranshahr</t>
  </si>
  <si>
    <t>Germany</t>
  </si>
  <si>
    <t>Great Britain</t>
  </si>
  <si>
    <t>Hindustan</t>
  </si>
  <si>
    <t>Holy Roman Empire</t>
  </si>
  <si>
    <t>Italy</t>
  </si>
  <si>
    <t>Japan</t>
  </si>
  <si>
    <t>Lotharingia</t>
  </si>
  <si>
    <t>Mexico</t>
  </si>
  <si>
    <t>Ming</t>
  </si>
  <si>
    <t>Mongol Empire</t>
  </si>
  <si>
    <t>Mughals</t>
  </si>
  <si>
    <t>Ottomans</t>
  </si>
  <si>
    <t>Persia</t>
  </si>
  <si>
    <t>Qing</t>
  </si>
  <si>
    <t>Roman Empire</t>
  </si>
  <si>
    <t>Rum</t>
  </si>
  <si>
    <t>Russia</t>
  </si>
  <si>
    <t>Scandinavia</t>
  </si>
  <si>
    <t>Spain</t>
  </si>
  <si>
    <t>Synthetics</t>
  </si>
  <si>
    <t>The Papal State</t>
  </si>
  <si>
    <t>United States</t>
  </si>
  <si>
    <t>Yuan</t>
  </si>
  <si>
    <t>Zimbabwe</t>
  </si>
  <si>
    <t>Non-colonial Formable</t>
  </si>
  <si>
    <t>Aotearoa</t>
  </si>
  <si>
    <t>Armenia</t>
  </si>
  <si>
    <t>Bavaria</t>
  </si>
  <si>
    <t>Bukhara</t>
  </si>
  <si>
    <t>Bulgaria</t>
  </si>
  <si>
    <t>Croatia</t>
  </si>
  <si>
    <t>Dai Viet</t>
  </si>
  <si>
    <t>Dalmatia</t>
  </si>
  <si>
    <t>Deccan</t>
  </si>
  <si>
    <t>Delhi</t>
  </si>
  <si>
    <t>Denmark</t>
  </si>
  <si>
    <t>Egypt</t>
  </si>
  <si>
    <t>Franconia</t>
  </si>
  <si>
    <t>Golden Horde</t>
  </si>
  <si>
    <t>Greece</t>
  </si>
  <si>
    <t>Hanover</t>
  </si>
  <si>
    <t>Hausa</t>
  </si>
  <si>
    <t>Hawai'i</t>
  </si>
  <si>
    <t>Iceland</t>
  </si>
  <si>
    <t>Ilkhanate</t>
  </si>
  <si>
    <t>Inca</t>
  </si>
  <si>
    <t>Ireland</t>
  </si>
  <si>
    <t>Israel</t>
  </si>
  <si>
    <t>Jerusalem</t>
  </si>
  <si>
    <t>Kitara</t>
  </si>
  <si>
    <t>Kurland</t>
  </si>
  <si>
    <t>Lanfang</t>
  </si>
  <si>
    <t>Latin Empire</t>
  </si>
  <si>
    <t>Livonia</t>
  </si>
  <si>
    <t>Lan Xang</t>
  </si>
  <si>
    <t>Lubeck</t>
  </si>
  <si>
    <t>Macina</t>
  </si>
  <si>
    <t>Malaya</t>
  </si>
  <si>
    <t>Mali</t>
  </si>
  <si>
    <t>Mamluks</t>
  </si>
  <si>
    <t>Manchu</t>
  </si>
  <si>
    <t>Marathas</t>
  </si>
  <si>
    <t>Maya</t>
  </si>
  <si>
    <t>Morocco</t>
  </si>
  <si>
    <t>Mossi</t>
  </si>
  <si>
    <t>Nagpur</t>
  </si>
  <si>
    <t>Nepal</t>
  </si>
  <si>
    <t>Netherlands</t>
  </si>
  <si>
    <t>Nubia</t>
  </si>
  <si>
    <t>Orissa</t>
  </si>
  <si>
    <t>Poland</t>
  </si>
  <si>
    <t>Pomerania</t>
  </si>
  <si>
    <t>Prussia</t>
  </si>
  <si>
    <t>Punjab</t>
  </si>
  <si>
    <t>Rajputana</t>
  </si>
  <si>
    <t>Romania</t>
  </si>
  <si>
    <t>Ruthenia</t>
  </si>
  <si>
    <t>Sardinia-Piemont</t>
  </si>
  <si>
    <t>Saxony</t>
  </si>
  <si>
    <t>Scotland</t>
  </si>
  <si>
    <t>Shan</t>
  </si>
  <si>
    <t>Siam</t>
  </si>
  <si>
    <t>Silesia</t>
  </si>
  <si>
    <t>Sokoto</t>
  </si>
  <si>
    <t>Somalia</t>
  </si>
  <si>
    <t>Swabia</t>
  </si>
  <si>
    <t>Tibet</t>
  </si>
  <si>
    <t>Timurids</t>
  </si>
  <si>
    <t>Tripoli</t>
  </si>
  <si>
    <t>Tunis</t>
  </si>
  <si>
    <t>Tuscany</t>
  </si>
  <si>
    <t>Two Sicilies</t>
  </si>
  <si>
    <t>Viti</t>
  </si>
  <si>
    <t>Westphalia</t>
  </si>
  <si>
    <t>Yemen</t>
  </si>
  <si>
    <t>End Game Tag?</t>
  </si>
  <si>
    <t>non "starting as" Achievement</t>
  </si>
  <si>
    <t>description</t>
  </si>
  <si>
    <t>"starting as" Achievement</t>
  </si>
  <si>
    <t>Yes</t>
  </si>
  <si>
    <t>No</t>
  </si>
  <si>
    <t>Starting as Austria, convert to Zoroastrianism, and complete the Persian Zoroastrian missions.</t>
  </si>
  <si>
    <t>Starting as England, form the Angevin Kingdom and enact all the 'Acts of Crown' parliamentary issues.</t>
  </si>
  <si>
    <t>Ethiopia</t>
  </si>
  <si>
    <t>Starting as Ethiopia, own and have cores on Alexandria, Antioch and Constantinople as a Coptic country.</t>
  </si>
  <si>
    <t>As Georgia, have as vassals Genoa, Aragon, England and Trier or their successors, and control Wales.</t>
  </si>
  <si>
    <t>Form Prussia or Germany, have the Empire government rank and 40.000 Marines raised at the same time.</t>
  </si>
  <si>
    <t>It's all coming together
A Sun God</t>
  </si>
  <si>
    <t>Complete the Incan mission tree (Sunset invasion missions excluded).
Form Inca, embrace all Institutions and own all of South America as core provinces.</t>
  </si>
  <si>
    <t>Starting as Frankfurt, form Jerusalem, and then form the Inca while owning Mallorca.</t>
  </si>
  <si>
    <t>As Japan have the Land of the Christian Sun reform while Palestine and Cairo are Christian under us.</t>
  </si>
  <si>
    <t>Starting as the Livonian Order, form Livonia and own the territory of the North German Confederation as core provinces.</t>
  </si>
  <si>
    <t>Mansa Musa
Abu Bakr II’s Ambition</t>
  </si>
  <si>
    <t>As Mali, give 10k ducats away to another great power without having a single loan or being bankrupt.
Start as Mali and have 4 Colonial Subjects in South America.</t>
  </si>
  <si>
    <t>Starting as the Teutonic Order, form the Mongol Empire while have the Holy Horde government reform enacted.</t>
  </si>
  <si>
    <t>Baborg
Sweet Home Qaraqorum</t>
  </si>
  <si>
    <t>As the Mughals, assimilate at least 12 culture groups.
As the Mughals assimilate Mongolian culture.</t>
  </si>
  <si>
    <t>As Gorkha form Nepal and defeat Prussia with at least 100,000 Prussian casualties in a war (both have to be primary targets of war).</t>
  </si>
  <si>
    <t>Parisian Pasha
Definitely the Sultan of Rum</t>
  </si>
  <si>
    <t>Assign Pasha to Paris.
Own and have cores on Rome, Moscow and Istanbul as Ottomans or Rum.</t>
  </si>
  <si>
    <t>Starting as The Ottomans, own or have Core Eyalets own all the provinces required to form the Roman Empire before 1500.</t>
  </si>
  <si>
    <t>Back to the Piast
Poland can into space
One King to Rule!</t>
  </si>
  <si>
    <t>As Mazovia, Glogow or Opole, form the nation of Poland.
As Poland, reach the maximum level in all technologies (32).
As Poland, become an absolutist monarchy, abolishing the Sejm.</t>
  </si>
  <si>
    <t>For the Emperor!
A Fine Goosestep</t>
  </si>
  <si>
    <t>Form Prussia or Germany, have the Empire government rank and 40.000 Marines raised at the same time.
Form Prussia and have at least 125% Discipline.</t>
  </si>
  <si>
    <t xml:space="preserve">Triple the Rome </t>
  </si>
  <si>
    <t>No Country for Old Tercios
Forever Golden
Imperio español</t>
  </si>
  <si>
    <t>As Spain, have Reformed Tercios, 33 Tercio Units, and control 3 Great Power capitals at the same time
Complete the Spanish Mission Tree.
As Spain have Mexico, Panama, Havana, Cuzco in colonial Nations under you.</t>
  </si>
  <si>
    <t>Holy Trinity
Kingdom of God</t>
  </si>
  <si>
    <t>As the Papacy, own Jerusalem and have Livonian Order, Teutonic Order and The Knights as Marches.
Starting as the Papal State, become the Kingdom of God</t>
  </si>
  <si>
    <t>Starting as the Timurids, have 75 prestige, and 5 allies with 100 Trust and 150 opinion.</t>
  </si>
  <si>
    <t>As Tunisia, own and have cores on Sicily, Sardinia, the Balearic Islands, the coast of Algiers and the southern coast of Spain.</t>
  </si>
  <si>
    <t>As Yemen, prevent any European Nation from owning a Coffee-producing province in the Old World until 1700.</t>
  </si>
  <si>
    <t>Run ID</t>
  </si>
  <si>
    <t>Starting country</t>
  </si>
  <si>
    <t>Run value</t>
  </si>
  <si>
    <t>Run difficulty</t>
  </si>
  <si>
    <t>Fezzan</t>
  </si>
  <si>
    <t>Mazovia</t>
  </si>
  <si>
    <t>Frankfurt</t>
  </si>
  <si>
    <t>Oirat?</t>
  </si>
  <si>
    <t>Papal State</t>
  </si>
  <si>
    <t>Karaman</t>
  </si>
  <si>
    <t>Ardabil</t>
  </si>
  <si>
    <t>Transoxiana</t>
  </si>
  <si>
    <t>Granada</t>
  </si>
  <si>
    <t>Custom Norse 3 dev</t>
  </si>
  <si>
    <t>Munchen</t>
  </si>
  <si>
    <t>Lithuania</t>
  </si>
  <si>
    <t>Mutapa</t>
  </si>
  <si>
    <t>Livonian Order</t>
  </si>
  <si>
    <t>Bologna</t>
  </si>
  <si>
    <t>Teutonic Order</t>
  </si>
  <si>
    <t>Gorkha</t>
  </si>
  <si>
    <t>Tunisia</t>
  </si>
  <si>
    <t>listed alreeady?</t>
  </si>
  <si>
    <t>Songhai</t>
  </si>
  <si>
    <t>Quizquiz</t>
  </si>
  <si>
    <t>Deli</t>
  </si>
  <si>
    <t>Air</t>
  </si>
  <si>
    <t>The Isles</t>
  </si>
  <si>
    <t>Bone</t>
  </si>
  <si>
    <t>Kale</t>
  </si>
  <si>
    <t>Kaffa</t>
  </si>
  <si>
    <t>Madurai</t>
  </si>
  <si>
    <t>Pegu</t>
  </si>
  <si>
    <t>Sus</t>
  </si>
  <si>
    <t>Ragusa</t>
  </si>
  <si>
    <t>Candar</t>
  </si>
  <si>
    <t>Mysore</t>
  </si>
  <si>
    <t>Garwhal</t>
  </si>
  <si>
    <t>Hamburg</t>
  </si>
  <si>
    <t>Avaria</t>
  </si>
  <si>
    <t>Kuba</t>
  </si>
  <si>
    <t>Offaly</t>
  </si>
  <si>
    <t>Sindh</t>
  </si>
  <si>
    <t>Kandy</t>
  </si>
  <si>
    <t>Cilli</t>
  </si>
  <si>
    <t>Manipur</t>
  </si>
  <si>
    <t>Nagaur</t>
  </si>
  <si>
    <t>Athens</t>
  </si>
  <si>
    <t>Lucca</t>
  </si>
  <si>
    <t>Trebizond</t>
  </si>
  <si>
    <t>Theodoro</t>
  </si>
  <si>
    <t>Cherokee</t>
  </si>
  <si>
    <t>Albania</t>
  </si>
  <si>
    <t>Brick by Brick
The Iron Price
Østindisk Kompagni Te</t>
  </si>
  <si>
    <t>Starting as Denmark, enact the Unified Kalmar Monarchy government reform and own the entire Scandinavian region as your cores.
Restore the Danelaw region to Danish rule, and make it Danish culture.
As Denmark establish Trade company and have at least 10% Tea market share.</t>
  </si>
  <si>
    <t>Aztec</t>
  </si>
  <si>
    <t>Aq Qoyunlu</t>
  </si>
  <si>
    <t>Qara Qoyunlu</t>
  </si>
  <si>
    <t>Dithmarschen</t>
  </si>
  <si>
    <t>Serbia</t>
  </si>
  <si>
    <t>Hesse</t>
  </si>
  <si>
    <t>Butua</t>
  </si>
  <si>
    <t>Bengal</t>
  </si>
  <si>
    <t>custom pirate America</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</si>
  <si>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</si>
  <si>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</si>
  <si>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</si>
  <si>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</si>
  <si>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</si>
  <si>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</si>
  <si>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</si>
  <si>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</si>
  <si>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</si>
  <si>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</si>
  <si>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</si>
  <si>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</si>
  <si>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</si>
  <si>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</si>
  <si>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</si>
  <si>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</si>
  <si>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</si>
  <si>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</si>
  <si>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</si>
  <si>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</si>
  <si>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</si>
  <si>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</si>
  <si>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</si>
  <si>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</si>
  <si>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</si>
  <si>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</si>
  <si>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</si>
  <si>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</si>
  <si>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</si>
  <si>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</si>
  <si>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</si>
  <si>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</si>
  <si>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</si>
  <si>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</si>
  <si>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</si>
  <si>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</si>
  <si>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</si>
  <si>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</si>
  <si>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</si>
  <si>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</si>
  <si>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</si>
  <si>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</si>
  <si>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</si>
  <si>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</si>
  <si>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</si>
  <si>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</si>
  <si>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</si>
  <si>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</si>
  <si>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</si>
  <si>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</si>
  <si>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</si>
  <si>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153</t>
  </si>
  <si>
    <t>154</t>
  </si>
  <si>
    <t>155</t>
  </si>
  <si>
    <t>156</t>
  </si>
  <si>
    <t>157</t>
  </si>
  <si>
    <t>158</t>
  </si>
  <si>
    <t>159</t>
  </si>
  <si>
    <t>160</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</si>
  <si>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</si>
  <si>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</si>
  <si>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</si>
  <si>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</si>
  <si>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</si>
  <si>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</si>
  <si>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</si>
  <si>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</si>
  <si>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</si>
  <si>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</si>
  <si>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</si>
  <si>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</si>
  <si>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</si>
  <si>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</si>
  <si>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</si>
  <si>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</si>
  <si>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</si>
  <si>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</si>
  <si>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</si>
  <si>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</si>
  <si>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</si>
  <si>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</si>
  <si>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</si>
  <si>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186</t>
  </si>
  <si>
    <t>Desmond</t>
  </si>
  <si>
    <t>Lippe/Berg</t>
  </si>
  <si>
    <t>Austra</t>
  </si>
  <si>
    <t>Ottomans/Saruhan</t>
  </si>
  <si>
    <t>188</t>
  </si>
  <si>
    <t>189</t>
  </si>
  <si>
    <t>190</t>
  </si>
  <si>
    <t>191</t>
  </si>
  <si>
    <t>Cebu</t>
  </si>
  <si>
    <t>187</t>
  </si>
  <si>
    <t>Adal</t>
  </si>
  <si>
    <t>Vijayanagar</t>
  </si>
  <si>
    <t>Dongola/Alodia/Makuria</t>
  </si>
  <si>
    <t>Custom Zoroastrian</t>
  </si>
  <si>
    <t>Nitra/Austria/Hungary</t>
  </si>
  <si>
    <t>Ternate</t>
  </si>
  <si>
    <t>Buganda/Busoga/Karagwe</t>
  </si>
  <si>
    <t>Madyas</t>
  </si>
  <si>
    <t>Australian tribe</t>
  </si>
  <si>
    <t>Malagsy country</t>
  </si>
  <si>
    <t>England/Wales/Mann</t>
  </si>
  <si>
    <t>Vh</t>
  </si>
  <si>
    <t>Cheesable with custom nation?</t>
  </si>
  <si>
    <t>custom Norse</t>
  </si>
  <si>
    <t>Oirat</t>
  </si>
  <si>
    <t>Run value2</t>
  </si>
  <si>
    <t>161</t>
  </si>
  <si>
    <t>185</t>
  </si>
  <si>
    <t>001</t>
  </si>
  <si>
    <t>002</t>
  </si>
  <si>
    <t>003</t>
  </si>
  <si>
    <t>004</t>
  </si>
  <si>
    <t>005</t>
  </si>
  <si>
    <t>006</t>
  </si>
  <si>
    <t>007</t>
  </si>
  <si>
    <t>008</t>
  </si>
  <si>
    <t>009</t>
  </si>
  <si>
    <t>010</t>
  </si>
  <si>
    <t>011</t>
  </si>
  <si>
    <t>013</t>
  </si>
  <si>
    <t>012</t>
  </si>
  <si>
    <t>000</t>
  </si>
  <si>
    <t>Base</t>
  </si>
  <si>
    <t>Progress</t>
  </si>
  <si>
    <t>100</t>
  </si>
  <si>
    <t>custom America</t>
  </si>
  <si>
    <t>custom bahamas</t>
  </si>
  <si>
    <t>Alabania</t>
  </si>
  <si>
    <t>Malacca</t>
  </si>
  <si>
    <t>192</t>
  </si>
  <si>
    <t>193</t>
  </si>
  <si>
    <t>194</t>
  </si>
  <si>
    <t>Imerina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</si>
</sst>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_(* #,##0_);_(* \(#,##0\);_(* &quot;-&quot;??_);_(@_)"/>
    <numFmt numFmtId="166" formatCode="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family val="2"/>
    </font>
    <font>
      <sz val="8"/>
      <name val="Aptos Narrow"/>
      <family val="2"/>
      <scheme val="minor"/>
    </font>
    <font>
      <b/>
      <sz val="10"/>
      <color theme="1"/>
      <name val="Arial"/>
      <family val="2"/>
    </font>
    <font>
      <b/>
      <sz val="12"/>
      <color theme="1"/>
      <name val="Aptos Narrow"/>
      <family val="2"/>
      <scheme val="minor"/>
    </font>
    <font>
      <b/>
      <sz val="12"/>
      <color theme="0"/>
      <name val="Aptos Narrow"/>
      <family val="2"/>
      <scheme val="minor"/>
    </font>
    <font>
      <b/>
      <sz val="12"/>
      <name val="Aptos Narrow"/>
      <family val="2"/>
      <scheme val="minor"/>
    </font>
    <font>
      <b/>
      <sz val="16"/>
      <color theme="1"/>
      <name val="Aptos Narrow"/>
      <family val="2"/>
      <scheme val="minor"/>
    </font>
    <font>
      <b/>
      <sz val="10"/>
      <color theme="0"/>
      <name val="Arial"/>
      <family val="2"/>
    </font>
  </fonts>
  <fills count="21">
    <fill>
      <patternFill patternType="none"/>
    </fill>
    <fill>
      <patternFill patternType="gray125"/>
    </fill>
    <fill>
      <patternFill patternType="solid">
        <fgColor rgb="FFFFFF99"/>
        <bgColor indexed="64"/>
      </patternFill>
    </fill>
    <fill>
      <patternFill patternType="solid">
        <fgColor rgb="FFFFC000"/>
        <bgColor indexed="64"/>
      </patternFill>
    </fill>
    <fill>
      <patternFill patternType="solid">
        <fgColor theme="7"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4"/>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0">
    <xf numFmtId="0" fontId="0" fillId="0" borderId="0" xfId="0"/>
    <xf numFmtId="0" fontId="0" fillId="0" borderId="0" xfId="0" applyAlignment="1">
      <alignment vertical="center"/>
    </xf>
    <xf numFmtId="0" fontId="3" fillId="0" borderId="0" xfId="0" applyFont="1" applyAlignment="1">
      <alignment vertical="center" wrapText="1"/>
    </xf>
    <xf numFmtId="10" fontId="3" fillId="0" borderId="0" xfId="0" applyNumberFormat="1" applyFont="1" applyAlignment="1">
      <alignment horizontal="right" vertical="center" wrapText="1"/>
    </xf>
    <xf numFmtId="0" fontId="0" fillId="0" borderId="0" xfId="0" applyAlignment="1">
      <alignment horizontal="center" vertical="center"/>
    </xf>
    <xf numFmtId="0" fontId="0" fillId="0" borderId="0" xfId="0" applyAlignment="1">
      <alignment horizontal="center"/>
    </xf>
    <xf numFmtId="0" fontId="3" fillId="0" borderId="0" xfId="0" applyFont="1" applyAlignment="1">
      <alignment horizontal="center" vertical="center" wrapText="1"/>
    </xf>
    <xf numFmtId="0" fontId="3" fillId="0" borderId="0" xfId="0" applyFont="1" applyAlignment="1">
      <alignment wrapText="1"/>
    </xf>
    <xf numFmtId="0" fontId="3" fillId="0" borderId="0" xfId="0" applyFont="1" applyAlignment="1">
      <alignment vertical="center"/>
    </xf>
    <xf numFmtId="0" fontId="3" fillId="0" borderId="0" xfId="1" applyNumberFormat="1" applyFont="1" applyBorder="1" applyAlignment="1">
      <alignment horizontal="center" vertical="center" wrapText="1"/>
    </xf>
    <xf numFmtId="164" fontId="3" fillId="0" borderId="0" xfId="1" applyNumberFormat="1" applyFont="1" applyBorder="1" applyAlignment="1">
      <alignment horizontal="center" vertical="center" wrapText="1"/>
    </xf>
    <xf numFmtId="0" fontId="5" fillId="4" borderId="0" xfId="0" applyFont="1" applyFill="1" applyAlignment="1">
      <alignment vertical="center" wrapText="1"/>
    </xf>
    <xf numFmtId="0" fontId="5" fillId="4" borderId="0" xfId="0" applyFont="1" applyFill="1" applyAlignment="1">
      <alignment horizontal="center" vertical="center" wrapText="1"/>
    </xf>
    <xf numFmtId="0" fontId="5" fillId="4" borderId="0" xfId="0" applyFont="1" applyFill="1" applyAlignment="1">
      <alignment wrapText="1"/>
    </xf>
    <xf numFmtId="0" fontId="0" fillId="9" borderId="0" xfId="0" applyFill="1" applyAlignment="1">
      <alignment vertical="center"/>
    </xf>
    <xf numFmtId="0" fontId="3" fillId="9" borderId="0" xfId="0" applyFont="1" applyFill="1" applyAlignment="1">
      <alignment vertical="center" wrapText="1"/>
    </xf>
    <xf numFmtId="10" fontId="3" fillId="9" borderId="0" xfId="0" applyNumberFormat="1" applyFont="1" applyFill="1" applyAlignment="1">
      <alignment horizontal="right" vertical="center" wrapText="1"/>
    </xf>
    <xf numFmtId="0" fontId="3" fillId="9" borderId="0" xfId="0" applyFont="1" applyFill="1" applyAlignment="1">
      <alignment horizontal="center" vertical="center" wrapText="1"/>
    </xf>
    <xf numFmtId="0" fontId="0" fillId="9" borderId="0" xfId="0" applyFill="1" applyAlignment="1">
      <alignment horizontal="center" vertical="center"/>
    </xf>
    <xf numFmtId="0" fontId="2" fillId="0" borderId="0" xfId="0" applyFont="1" applyAlignment="1">
      <alignment vertical="center"/>
    </xf>
    <xf numFmtId="0" fontId="2" fillId="9" borderId="0" xfId="0" applyFont="1" applyFill="1" applyAlignment="1">
      <alignment vertical="center"/>
    </xf>
    <xf numFmtId="0" fontId="6" fillId="7" borderId="0" xfId="0" applyFont="1" applyFill="1" applyAlignment="1">
      <alignment horizontal="center" vertical="center"/>
    </xf>
    <xf numFmtId="0" fontId="6" fillId="12" borderId="0" xfId="0" applyFont="1" applyFill="1" applyAlignment="1">
      <alignment horizontal="center" vertical="center"/>
    </xf>
    <xf numFmtId="1" fontId="3" fillId="0" borderId="0" xfId="0" applyNumberFormat="1" applyFont="1" applyAlignment="1">
      <alignment horizontal="right" vertical="center" wrapText="1"/>
    </xf>
    <xf numFmtId="1" fontId="0" fillId="0" borderId="0" xfId="0" applyNumberFormat="1" applyAlignment="1">
      <alignment horizontal="center" vertical="center"/>
    </xf>
    <xf numFmtId="1" fontId="3" fillId="9" borderId="0" xfId="0" applyNumberFormat="1" applyFont="1" applyFill="1" applyAlignment="1">
      <alignment horizontal="center" vertical="center" wrapText="1"/>
    </xf>
    <xf numFmtId="1" fontId="3" fillId="0" borderId="0" xfId="0" applyNumberFormat="1" applyFont="1" applyAlignment="1">
      <alignment horizontal="center" vertical="center" wrapText="1"/>
    </xf>
    <xf numFmtId="1" fontId="2" fillId="14" borderId="0" xfId="0" applyNumberFormat="1" applyFont="1" applyFill="1" applyAlignment="1">
      <alignment vertical="center"/>
    </xf>
    <xf numFmtId="165" fontId="0" fillId="15" borderId="0" xfId="2" applyNumberFormat="1" applyFont="1" applyFill="1" applyAlignment="1">
      <alignment vertical="center"/>
    </xf>
    <xf numFmtId="9" fontId="9" fillId="16" borderId="0" xfId="1" applyFont="1" applyFill="1" applyAlignment="1">
      <alignment vertical="center"/>
    </xf>
    <xf numFmtId="0" fontId="0" fillId="0" borderId="0" xfId="0" applyAlignment="1">
      <alignment horizontal="right"/>
    </xf>
    <xf numFmtId="166" fontId="9" fillId="16" borderId="0" xfId="1" applyNumberFormat="1" applyFont="1" applyFill="1" applyAlignment="1">
      <alignment vertical="center"/>
    </xf>
    <xf numFmtId="0" fontId="2" fillId="19" borderId="0" xfId="0" applyFont="1" applyFill="1"/>
    <xf numFmtId="0" fontId="2" fillId="19" borderId="0" xfId="0" applyFont="1" applyFill="1" applyAlignment="1">
      <alignment horizontal="left" vertical="center"/>
    </xf>
    <xf numFmtId="0" fontId="2" fillId="19" borderId="0" xfId="0" applyFont="1" applyFill="1" applyAlignment="1">
      <alignment vertical="center"/>
    </xf>
    <xf numFmtId="0" fontId="0" fillId="0" borderId="0" xfId="0" applyAlignment="1">
      <alignment horizontal="left" vertical="center"/>
    </xf>
    <xf numFmtId="0" fontId="0" fillId="0" borderId="0" xfId="0" applyAlignment="1">
      <alignment wrapText="1"/>
    </xf>
    <xf numFmtId="0" fontId="10" fillId="20" borderId="0" xfId="0" applyFont="1" applyFill="1" applyAlignment="1">
      <alignment vertical="center" wrapText="1"/>
    </xf>
    <xf numFmtId="0" fontId="0" fillId="11" borderId="0" xfId="0" applyFill="1"/>
    <xf numFmtId="49" fontId="0" fillId="11" borderId="0" xfId="0" applyNumberFormat="1" applyFill="1" applyAlignment="1">
      <alignment vertical="center"/>
    </xf>
    <xf numFmtId="0" fontId="0" fillId="11" borderId="0" xfId="0" applyFill="1" applyAlignment="1">
      <alignment vertical="center"/>
    </xf>
    <xf numFmtId="0" fontId="10" fillId="20" borderId="0" xfId="0" applyFont="1" applyFill="1" applyAlignment="1">
      <alignment horizontal="center" vertical="center" wrapText="1"/>
    </xf>
    <xf numFmtId="0" fontId="3" fillId="11" borderId="0" xfId="0" applyFont="1" applyFill="1" applyAlignment="1">
      <alignment vertical="center" wrapText="1"/>
    </xf>
    <xf numFmtId="0" fontId="3" fillId="11" borderId="0" xfId="0" applyFont="1" applyFill="1" applyAlignment="1">
      <alignment wrapText="1"/>
    </xf>
    <xf numFmtId="0" fontId="3" fillId="11" borderId="0" xfId="0" applyFont="1" applyFill="1" applyAlignment="1">
      <alignment horizontal="center" vertical="center" wrapText="1"/>
    </xf>
    <xf numFmtId="49" fontId="0" fillId="6" borderId="0" xfId="0" applyNumberFormat="1" applyFill="1" applyAlignment="1">
      <alignment vertical="center"/>
    </xf>
    <xf numFmtId="0" fontId="0" fillId="6" borderId="0" xfId="0" applyFill="1" applyAlignment="1">
      <alignment vertical="center"/>
    </xf>
    <xf numFmtId="0" fontId="3" fillId="6" borderId="0" xfId="0" applyFont="1" applyFill="1" applyAlignment="1">
      <alignment vertical="center" wrapText="1"/>
    </xf>
    <xf numFmtId="0" fontId="0" fillId="6" borderId="0" xfId="0" applyFill="1"/>
    <xf numFmtId="0" fontId="3" fillId="6" borderId="0" xfId="0" applyFont="1" applyFill="1" applyAlignment="1">
      <alignment wrapText="1"/>
    </xf>
    <xf numFmtId="0" fontId="3" fillId="6" borderId="0" xfId="0" applyFont="1" applyFill="1" applyAlignment="1">
      <alignment horizontal="center" vertical="center" wrapText="1"/>
    </xf>
    <xf numFmtId="0" fontId="5" fillId="11" borderId="0" xfId="0" applyFont="1" applyFill="1" applyAlignment="1">
      <alignment vertical="center" wrapText="1"/>
    </xf>
    <xf numFmtId="0" fontId="5" fillId="6" borderId="0" xfId="0" applyFont="1" applyFill="1" applyAlignment="1">
      <alignment vertical="center" wrapText="1"/>
    </xf>
    <xf numFmtId="10" fontId="5" fillId="4" borderId="0" xfId="1" applyNumberFormat="1" applyFont="1" applyFill="1" applyAlignment="1">
      <alignment vertical="center" wrapText="1"/>
    </xf>
    <xf numFmtId="10" fontId="3" fillId="11" borderId="0" xfId="1" applyNumberFormat="1" applyFont="1" applyFill="1" applyAlignment="1">
      <alignment horizontal="right" vertical="center" wrapText="1"/>
    </xf>
    <xf numFmtId="10" fontId="3" fillId="6" borderId="0" xfId="1" applyNumberFormat="1" applyFont="1" applyFill="1" applyAlignment="1">
      <alignment horizontal="right" vertical="center" wrapText="1"/>
    </xf>
    <xf numFmtId="10" fontId="0" fillId="11" borderId="0" xfId="1" applyNumberFormat="1" applyFont="1" applyFill="1" applyAlignment="1">
      <alignment vertical="center"/>
    </xf>
    <xf numFmtId="10" fontId="0" fillId="6" borderId="0" xfId="1" applyNumberFormat="1" applyFont="1" applyFill="1" applyAlignment="1">
      <alignment vertical="center"/>
    </xf>
    <xf numFmtId="10" fontId="0" fillId="0" borderId="0" xfId="1" applyNumberFormat="1" applyFont="1" applyAlignment="1">
      <alignment vertical="center"/>
    </xf>
    <xf numFmtId="0" fontId="2" fillId="6" borderId="0" xfId="0" applyFont="1" applyFill="1" applyAlignment="1">
      <alignment vertical="center"/>
    </xf>
    <xf numFmtId="0" fontId="2" fillId="11" borderId="0" xfId="0" applyFont="1" applyFill="1" applyAlignment="1">
      <alignment vertical="center"/>
    </xf>
    <xf numFmtId="0" fontId="0" fillId="11" borderId="0" xfId="0" applyFill="1" applyAlignment="1">
      <alignment horizontal="center" vertical="center"/>
    </xf>
    <xf numFmtId="0" fontId="0" fillId="6" borderId="0" xfId="0" applyFill="1" applyAlignment="1">
      <alignment horizontal="center" vertical="center"/>
    </xf>
    <xf numFmtId="0" fontId="5" fillId="6" borderId="0" xfId="0" applyFont="1" applyFill="1" applyAlignment="1">
      <alignment horizontal="center" vertical="center" wrapText="1"/>
    </xf>
    <xf numFmtId="0" fontId="5" fillId="11" borderId="0" xfId="0" applyFont="1" applyFill="1" applyAlignment="1">
      <alignment horizontal="center" vertical="center" wrapText="1"/>
    </xf>
    <xf numFmtId="0" fontId="2" fillId="6" borderId="0" xfId="0" applyFont="1" applyFill="1" applyAlignment="1">
      <alignment horizontal="center" vertical="center"/>
    </xf>
    <xf numFmtId="0" fontId="2" fillId="0" borderId="0" xfId="0" applyFont="1"/>
    <xf numFmtId="165" fontId="0" fillId="0" borderId="0" xfId="0" applyNumberFormat="1" applyAlignment="1">
      <alignment vertical="center"/>
    </xf>
    <xf numFmtId="49" fontId="10" fillId="11" borderId="0" xfId="0" applyNumberFormat="1" applyFont="1" applyFill="1" applyAlignment="1">
      <alignment vertical="center"/>
    </xf>
    <xf numFmtId="0" fontId="10" fillId="11" borderId="0" xfId="0" applyFont="1" applyFill="1" applyAlignment="1">
      <alignment vertical="center"/>
    </xf>
    <xf numFmtId="0" fontId="10" fillId="20" borderId="0" xfId="0" applyFont="1" applyFill="1" applyAlignment="1">
      <alignment horizontal="center" vertical="center"/>
    </xf>
    <xf numFmtId="0" fontId="5" fillId="11" borderId="0" xfId="0" applyFont="1" applyFill="1" applyAlignment="1">
      <alignment vertical="center"/>
    </xf>
    <xf numFmtId="0" fontId="5" fillId="4" borderId="0" xfId="0" applyFont="1" applyFill="1" applyAlignment="1">
      <alignment horizontal="center" vertical="center"/>
    </xf>
    <xf numFmtId="0" fontId="5" fillId="11" borderId="0" xfId="0" applyFont="1" applyFill="1" applyAlignment="1">
      <alignment horizontal="center" vertical="center"/>
    </xf>
    <xf numFmtId="0" fontId="5" fillId="11" borderId="0" xfId="0" applyFont="1" applyFill="1" applyAlignment="1">
      <alignment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17" borderId="0" xfId="0" applyFont="1" applyFill="1" applyAlignment="1">
      <alignment horizontal="center" vertical="center" wrapText="1"/>
    </xf>
    <xf numFmtId="0" fontId="5" fillId="18" borderId="0" xfId="0" applyFont="1" applyFill="1" applyAlignment="1">
      <alignment horizontal="center" vertical="center" wrapText="1"/>
    </xf>
    <xf numFmtId="0" fontId="7" fillId="5" borderId="0" xfId="0" applyFont="1" applyFill="1" applyAlignment="1">
      <alignment horizontal="center" vertical="center"/>
    </xf>
    <xf numFmtId="0" fontId="7" fillId="8"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11" borderId="0" xfId="0" applyFont="1" applyFill="1" applyAlignment="1">
      <alignment horizontal="center" vertical="center"/>
    </xf>
    <xf numFmtId="0" fontId="6" fillId="12" borderId="0" xfId="0" applyFont="1" applyFill="1" applyAlignment="1">
      <alignment horizontal="center" vertical="center"/>
    </xf>
    <xf numFmtId="0" fontId="7" fillId="16" borderId="0" xfId="0" applyFont="1" applyFill="1" applyAlignment="1">
      <alignment horizontal="center" vertical="center"/>
    </xf>
    <xf numFmtId="0" fontId="7" fillId="13" borderId="0" xfId="0" applyFont="1" applyFill="1" applyAlignment="1">
      <alignment horizontal="center" vertical="center"/>
    </xf>
    <xf numFmtId="0" fontId="8" fillId="2" borderId="0" xfId="0" applyFont="1" applyFill="1" applyAlignment="1">
      <alignment horizontal="center" vertical="center"/>
    </xf>
    <xf numFmtId="0" fontId="6" fillId="10" borderId="0" xfId="0" applyFont="1" applyFill="1" applyAlignment="1">
      <alignment horizontal="center" vertical="center"/>
    </xf>
    <xf numFmtId="0" fontId="6" fillId="3" borderId="0" xfId="0" applyFont="1" applyFill="1" applyAlignment="1">
      <alignment horizontal="center" vertical="center"/>
    </xf>
  </cellXfs>
  <cellStyles count="3">
    <cellStyle name="Comma" xfId="2" builtinId="3"/>
    <cellStyle name="Normal" xfId="0" builtinId="0"/>
    <cellStyle name="Percent" xfId="1" builtinId="5"/>
  </cellStyles>
  <dxfs count="410">
    <dxf>
      <fill>
        <patternFill>
          <bgColor rgb="FFFFFF99"/>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theme="9" tint="0.79998168889431442"/>
        </patternFill>
      </fill>
    </dxf>
    <dxf>
      <fill>
        <patternFill>
          <bgColor theme="4" tint="0.79998168889431442"/>
        </patternFill>
      </fill>
    </dxf>
    <dxf>
      <font>
        <b/>
        <i val="0"/>
      </font>
      <fill>
        <patternFill>
          <bgColor theme="9" tint="0.59996337778862885"/>
        </patternFill>
      </fill>
    </dxf>
    <dxf>
      <font>
        <strike/>
      </font>
      <fill>
        <patternFill>
          <bgColor theme="2" tint="-0.24994659260841701"/>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rgb="FFFFFF99"/>
        </patternFill>
      </fill>
    </dxf>
    <dxf>
      <fill>
        <patternFill>
          <bgColor theme="9" tint="0.79998168889431442"/>
        </patternFill>
      </fill>
    </dxf>
    <dxf>
      <fill>
        <patternFill>
          <bgColor theme="4" tint="0.79998168889431442"/>
        </patternFill>
      </fill>
    </dxf>
    <dxf>
      <font>
        <b/>
        <i val="0"/>
      </font>
      <fill>
        <patternFill>
          <bgColor theme="9" tint="0.59996337778862885"/>
        </patternFill>
      </fill>
    </dxf>
    <dxf>
      <font>
        <strike/>
      </font>
      <fill>
        <patternFill>
          <bgColor theme="2" tint="-0.24994659260841701"/>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strike/>
      </font>
      <fill>
        <patternFill>
          <bgColor theme="2" tint="-0.24994659260841701"/>
        </patternFill>
      </fill>
    </dxf>
    <dxf>
      <fill>
        <patternFill>
          <bgColor theme="9" tint="0.79998168889431442"/>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theme="4" tint="0.79998168889431442"/>
        </patternFill>
      </fill>
    </dxf>
    <dxf>
      <fill>
        <patternFill>
          <bgColor rgb="FFFFFF99"/>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b/>
        <i val="0"/>
      </font>
      <fill>
        <patternFill>
          <bgColor theme="9" tint="0.59996337778862885"/>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ill>
        <patternFill>
          <bgColor theme="9" tint="0.79998168889431442"/>
        </patternFill>
      </fill>
    </dxf>
    <dxf>
      <fill>
        <patternFill>
          <bgColor theme="4" tint="0.79998168889431442"/>
        </patternFill>
      </fill>
    </dxf>
    <dxf>
      <font>
        <b/>
        <i val="0"/>
      </font>
      <fill>
        <patternFill>
          <bgColor theme="9" tint="0.59996337778862885"/>
        </patternFill>
      </fill>
    </dxf>
    <dxf>
      <fill>
        <patternFill>
          <bgColor rgb="FFFFFF99"/>
        </patternFill>
      </fill>
    </dxf>
    <dxf>
      <fill>
        <patternFill>
          <bgColor theme="9" tint="0.79998168889431442"/>
        </patternFill>
      </fill>
    </dxf>
    <dxf>
      <fill>
        <patternFill>
          <bgColor theme="4" tint="0.79998168889431442"/>
        </patternFill>
      </fill>
    </dxf>
    <dxf>
      <font>
        <b/>
        <i val="0"/>
        <color theme="0"/>
      </font>
      <fill>
        <patternFill>
          <bgColor theme="1"/>
        </patternFill>
      </fill>
    </dxf>
    <dxf>
      <font>
        <b/>
        <i val="0"/>
        <color theme="0"/>
      </font>
      <fill>
        <patternFill>
          <bgColor rgb="FFFF5050"/>
        </patternFill>
      </fill>
    </dxf>
    <dxf>
      <fill>
        <patternFill>
          <bgColor rgb="FFFFC000"/>
        </patternFill>
      </fill>
    </dxf>
    <dxf>
      <font>
        <b/>
        <i val="0"/>
      </font>
      <fill>
        <patternFill>
          <bgColor theme="9" tint="0.59996337778862885"/>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ill>
        <patternFill>
          <bgColor theme="4"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ill>
        <patternFill>
          <bgColor theme="9" tint="0.79998168889431442"/>
        </patternFill>
      </fill>
    </dxf>
    <dxf>
      <fill>
        <patternFill>
          <bgColor rgb="FFFFC000"/>
        </patternFill>
      </fill>
    </dxf>
    <dxf>
      <font>
        <b/>
        <i val="0"/>
        <color theme="0"/>
      </font>
      <fill>
        <patternFill>
          <bgColor theme="1"/>
        </patternFill>
      </fill>
    </dxf>
    <dxf>
      <font>
        <b/>
        <i val="0"/>
        <color theme="0"/>
      </font>
      <fill>
        <patternFill>
          <bgColor rgb="FFFF5050"/>
        </patternFill>
      </fill>
    </dxf>
    <dxf>
      <fill>
        <patternFill>
          <bgColor theme="4" tint="0.79998168889431442"/>
        </patternFill>
      </fill>
    </dxf>
    <dxf>
      <fill>
        <patternFill>
          <bgColor theme="9" tint="0.79998168889431442"/>
        </patternFill>
      </fill>
    </dxf>
    <dxf>
      <fill>
        <patternFill>
          <bgColor rgb="FFFFFF99"/>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b/>
        <i val="0"/>
        <color theme="0"/>
      </font>
      <fill>
        <patternFill>
          <bgColor rgb="FFFF5050"/>
        </patternFill>
      </fill>
    </dxf>
    <dxf>
      <fill>
        <patternFill>
          <bgColor rgb="FFFFC000"/>
        </patternFill>
      </fill>
    </dxf>
    <dxf>
      <fill>
        <patternFill>
          <bgColor rgb="FFFFFF99"/>
        </patternFill>
      </fill>
    </dxf>
    <dxf>
      <fill>
        <patternFill>
          <bgColor theme="9" tint="0.79998168889431442"/>
        </patternFill>
      </fill>
    </dxf>
    <dxf>
      <fill>
        <patternFill>
          <bgColor theme="4" tint="0.79998168889431442"/>
        </patternFill>
      </fill>
    </dxf>
    <dxf>
      <font>
        <b/>
        <i val="0"/>
        <color theme="0"/>
      </font>
      <fill>
        <patternFill>
          <bgColor theme="1"/>
        </patternFill>
      </fill>
    </dxf>
    <dxf>
      <font>
        <b/>
        <i val="0"/>
      </font>
      <fill>
        <patternFill>
          <bgColor theme="9" tint="0.59996337778862885"/>
        </patternFill>
      </fill>
    </dxf>
    <dxf>
      <font>
        <strike/>
      </font>
      <fill>
        <patternFill>
          <bgColor theme="2" tint="-0.24994659260841701"/>
        </patternFill>
      </fill>
    </dxf>
    <dxf>
      <fill>
        <patternFill>
          <bgColor theme="4" tint="0.79998168889431442"/>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rgb="FFFFFF99"/>
        </patternFill>
      </fill>
    </dxf>
    <dxf>
      <fill>
        <patternFill>
          <bgColor theme="9" tint="0.79998168889431442"/>
        </patternFill>
      </fill>
    </dxf>
    <dxf>
      <font>
        <b/>
        <i val="0"/>
      </font>
      <fill>
        <patternFill>
          <bgColor theme="9" tint="0.59996337778862885"/>
        </patternFill>
      </fill>
    </dxf>
    <dxf>
      <font>
        <strike/>
      </font>
      <fill>
        <patternFill>
          <bgColor theme="2" tint="-0.24994659260841701"/>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theme="9" tint="0.79998168889431442"/>
        </patternFill>
      </fill>
    </dxf>
    <dxf>
      <fill>
        <patternFill>
          <bgColor theme="4" tint="0.79998168889431442"/>
        </patternFill>
      </fill>
    </dxf>
    <dxf>
      <fill>
        <patternFill>
          <bgColor rgb="FFFFFF99"/>
        </patternFill>
      </fill>
    </dxf>
    <dxf>
      <font>
        <strike/>
      </font>
      <fill>
        <patternFill>
          <bgColor theme="2" tint="-0.24994659260841701"/>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rgb="FFFFFF99"/>
        </patternFill>
      </fill>
    </dxf>
    <dxf>
      <fill>
        <patternFill>
          <bgColor theme="4" tint="0.79998168889431442"/>
        </patternFill>
      </fill>
    </dxf>
    <dxf>
      <fill>
        <patternFill>
          <bgColor theme="9" tint="0.79998168889431442"/>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bgColor theme="9" tint="0.59996337778862885"/>
        </patternFill>
      </fill>
    </dxf>
    <dxf>
      <fill>
        <patternFill>
          <bgColor theme="9" tint="0.59996337778862885"/>
        </patternFill>
      </fill>
    </dxf>
    <dxf>
      <font>
        <strike/>
      </font>
      <fill>
        <patternFill>
          <bgColor theme="2" tint="-0.24994659260841701"/>
        </patternFill>
      </fill>
    </dxf>
    <dxf>
      <font>
        <b/>
        <i val="0"/>
      </font>
      <fill>
        <patternFill>
          <bgColor theme="9" tint="0.59996337778862885"/>
        </patternFill>
      </fill>
    </dxf>
    <dxf>
      <font>
        <b/>
        <i val="0"/>
      </font>
      <fill>
        <patternFill>
          <bgColor theme="9" tint="0.59996337778862885"/>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rgb="FFFFFF99"/>
        </patternFill>
      </fill>
    </dxf>
    <dxf>
      <fill>
        <patternFill>
          <bgColor theme="4" tint="0.79998168889431442"/>
        </patternFill>
      </fill>
    </dxf>
    <dxf>
      <fill>
        <patternFill>
          <bgColor theme="9" tint="0.79998168889431442"/>
        </patternFill>
      </fill>
    </dxf>
    <dxf>
      <font>
        <b/>
        <i val="0"/>
      </font>
      <fill>
        <patternFill>
          <bgColor theme="9" tint="0.59996337778862885"/>
        </patternFill>
      </fill>
    </dxf>
    <dxf>
      <fill>
        <patternFill>
          <bgColor theme="4" tint="0.79998168889431442"/>
        </patternFill>
      </fill>
    </dxf>
    <dxf>
      <fill>
        <patternFill>
          <bgColor rgb="FFFFC000"/>
        </patternFill>
      </fill>
    </dxf>
    <dxf>
      <font>
        <b/>
        <i val="0"/>
        <color theme="0"/>
      </font>
      <fill>
        <patternFill>
          <bgColor rgb="FFFF5050"/>
        </patternFill>
      </fill>
    </dxf>
    <dxf>
      <font>
        <b/>
        <i val="0"/>
        <color theme="0"/>
      </font>
      <fill>
        <patternFill>
          <bgColor theme="1"/>
        </patternFill>
      </fill>
    </dxf>
    <dxf>
      <fill>
        <patternFill>
          <bgColor rgb="FFFFFF99"/>
        </patternFill>
      </fill>
    </dxf>
    <dxf>
      <fill>
        <patternFill>
          <bgColor theme="9" tint="0.79998168889431442"/>
        </patternFill>
      </fill>
    </dxf>
    <dxf>
      <font>
        <b/>
        <i val="0"/>
      </font>
      <fill>
        <patternFill>
          <bgColor theme="9" tint="0.59996337778862885"/>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ill>
        <patternFill>
          <bgColor theme="4" tint="0.79998168889431442"/>
        </patternFill>
      </fill>
    </dxf>
    <dxf>
      <fill>
        <patternFill>
          <bgColor theme="9" tint="0.79998168889431442"/>
        </patternFill>
      </fill>
    </dxf>
    <dxf>
      <fill>
        <patternFill>
          <bgColor rgb="FFFFC000"/>
        </patternFill>
      </fill>
    </dxf>
    <dxf>
      <font>
        <b/>
        <i val="0"/>
        <color theme="0"/>
      </font>
      <fill>
        <patternFill>
          <bgColor theme="1"/>
        </patternFill>
      </fill>
    </dxf>
    <dxf>
      <font>
        <b/>
        <i val="0"/>
        <color theme="0"/>
      </font>
      <fill>
        <patternFill>
          <bgColor rgb="FFFF5050"/>
        </patternFill>
      </fill>
    </dxf>
    <dxf>
      <fill>
        <patternFill>
          <bgColor rgb="FFFFFF99"/>
        </patternFill>
      </fill>
    </dxf>
    <dxf>
      <fill>
        <patternFill>
          <bgColor theme="9" tint="0.79998168889431442"/>
        </patternFill>
      </fill>
    </dxf>
    <dxf>
      <fill>
        <patternFill>
          <bgColor theme="4" tint="0.79998168889431442"/>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bgColor theme="9" tint="0.59996337778862885"/>
        </patternFill>
      </fill>
    </dxf>
    <dxf>
      <fill>
        <patternFill>
          <bgColor theme="9" tint="0.59996337778862885"/>
        </patternFill>
      </fill>
    </dxf>
    <dxf>
      <font>
        <strike/>
      </font>
      <fill>
        <patternFill>
          <bgColor theme="2" tint="-0.24994659260841701"/>
        </patternFill>
      </fill>
    </dxf>
    <dxf>
      <font>
        <b/>
        <i val="0"/>
      </font>
      <fill>
        <patternFill>
          <bgColor theme="9" tint="0.59996337778862885"/>
        </patternFill>
      </fill>
    </dxf>
    <dxf>
      <font>
        <b/>
        <i val="0"/>
      </font>
      <fill>
        <patternFill>
          <bgColor theme="9" tint="0.59996337778862885"/>
        </patternFill>
      </fill>
    </dxf>
    <dxf>
      <font>
        <b/>
        <i val="0"/>
        <color theme="0"/>
      </font>
      <fill>
        <patternFill>
          <bgColor rgb="FFFF5050"/>
        </patternFill>
      </fill>
    </dxf>
    <dxf>
      <font>
        <b/>
        <i val="0"/>
        <color theme="0"/>
      </font>
      <fill>
        <patternFill>
          <bgColor theme="1"/>
        </patternFill>
      </fill>
    </dxf>
    <dxf>
      <fill>
        <patternFill>
          <bgColor theme="9" tint="0.79998168889431442"/>
        </patternFill>
      </fill>
    </dxf>
    <dxf>
      <fill>
        <patternFill>
          <bgColor theme="4" tint="0.79998168889431442"/>
        </patternFill>
      </fill>
    </dxf>
    <dxf>
      <fill>
        <patternFill>
          <bgColor rgb="FFFFFF99"/>
        </patternFill>
      </fill>
    </dxf>
    <dxf>
      <fill>
        <patternFill>
          <bgColor rgb="FFFFC000"/>
        </patternFill>
      </fill>
    </dxf>
    <dxf>
      <font>
        <b/>
        <i val="0"/>
      </font>
      <fill>
        <patternFill>
          <bgColor theme="9" tint="0.59996337778862885"/>
        </patternFill>
      </fill>
    </dxf>
    <dxf>
      <font>
        <b/>
        <i val="0"/>
      </font>
      <fill>
        <patternFill>
          <bgColor theme="9" tint="0.59996337778862885"/>
        </patternFill>
      </fill>
    </dxf>
    <dxf>
      <font>
        <b/>
        <i val="0"/>
        <color theme="0"/>
      </font>
      <fill>
        <patternFill>
          <bgColor rgb="FFFF5050"/>
        </patternFill>
      </fill>
    </dxf>
    <dxf>
      <fill>
        <patternFill>
          <bgColor rgb="FFFFC000"/>
        </patternFill>
      </fill>
    </dxf>
    <dxf>
      <fill>
        <patternFill>
          <bgColor rgb="FFFFFF99"/>
        </patternFill>
      </fill>
    </dxf>
    <dxf>
      <fill>
        <patternFill>
          <bgColor theme="9" tint="0.79998168889431442"/>
        </patternFill>
      </fill>
    </dxf>
    <dxf>
      <fill>
        <patternFill>
          <bgColor theme="4" tint="0.79998168889431442"/>
        </patternFill>
      </fill>
    </dxf>
    <dxf>
      <font>
        <b/>
        <i val="0"/>
        <color theme="0"/>
      </font>
      <fill>
        <patternFill>
          <bgColor theme="1"/>
        </patternFill>
      </fill>
    </dxf>
    <dxf>
      <font>
        <b/>
        <i val="0"/>
        <color theme="0"/>
      </font>
      <fill>
        <patternFill>
          <bgColor theme="1"/>
        </patternFill>
      </fill>
    </dxf>
    <dxf>
      <font>
        <b/>
        <i val="0"/>
        <color theme="0"/>
      </font>
      <fill>
        <patternFill>
          <bgColor rgb="FFFF5050"/>
        </patternFill>
      </fill>
    </dxf>
    <dxf>
      <fill>
        <patternFill>
          <bgColor rgb="FFFFC000"/>
        </patternFill>
      </fill>
    </dxf>
    <dxf>
      <fill>
        <patternFill>
          <bgColor rgb="FFFFFF99"/>
        </patternFill>
      </fill>
    </dxf>
    <dxf>
      <fill>
        <patternFill>
          <bgColor theme="9" tint="0.79998168889431442"/>
        </patternFill>
      </fill>
    </dxf>
    <dxf>
      <fill>
        <patternFill>
          <bgColor theme="4" tint="0.79998168889431442"/>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strike/>
      </font>
      <fill>
        <patternFill>
          <bgColor theme="2" tint="-0.24994659260841701"/>
        </patternFill>
      </fill>
    </dxf>
    <dxf>
      <fill>
        <patternFill>
          <bgColor theme="9" tint="0.59996337778862885"/>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bgColor theme="9" tint="0.59996337778862885"/>
        </patternFill>
      </fill>
    </dxf>
    <dxf>
      <font>
        <b/>
        <i val="0"/>
      </font>
      <fill>
        <patternFill>
          <bgColor theme="9" tint="0.59996337778862885"/>
        </patternFill>
      </fill>
    </dxf>
    <dxf>
      <fill>
        <patternFill>
          <bgColor theme="9" tint="0.79998168889431442"/>
        </patternFill>
      </fill>
    </dxf>
    <dxf>
      <fill>
        <patternFill>
          <bgColor theme="4"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b/>
        <i val="0"/>
        <color theme="0"/>
      </font>
      <fill>
        <patternFill>
          <bgColor theme="1"/>
        </patternFill>
      </fill>
    </dxf>
    <dxf>
      <fill>
        <patternFill>
          <bgColor rgb="FFFFC000"/>
        </patternFill>
      </fill>
    </dxf>
    <dxf>
      <font>
        <b/>
        <i val="0"/>
        <color theme="0"/>
      </font>
      <fill>
        <patternFill>
          <bgColor rgb="FFFF5050"/>
        </patternFill>
      </fill>
    </dxf>
    <dxf>
      <fill>
        <patternFill>
          <bgColor rgb="FFFFFF99"/>
        </patternFill>
      </fill>
    </dxf>
    <dxf>
      <fill>
        <patternFill>
          <bgColor theme="9" tint="0.79998168889431442"/>
        </patternFill>
      </fill>
    </dxf>
    <dxf>
      <fill>
        <patternFill>
          <bgColor theme="4" tint="0.79998168889431442"/>
        </patternFill>
      </fill>
    </dxf>
    <dxf>
      <fill>
        <patternFill>
          <bgColor rgb="FFFFFF99"/>
        </patternFill>
      </fill>
    </dxf>
    <dxf>
      <fill>
        <patternFill>
          <bgColor theme="4" tint="0.79998168889431442"/>
        </patternFill>
      </fill>
    </dxf>
    <dxf>
      <fill>
        <patternFill>
          <bgColor theme="9" tint="0.79998168889431442"/>
        </patternFill>
      </fill>
    </dxf>
    <dxf>
      <fill>
        <patternFill>
          <bgColor rgb="FFFFC000"/>
        </patternFill>
      </fill>
    </dxf>
    <dxf>
      <font>
        <b/>
        <i val="0"/>
        <color theme="0"/>
      </font>
      <fill>
        <patternFill>
          <bgColor rgb="FFFF5050"/>
        </patternFill>
      </fill>
    </dxf>
    <dxf>
      <font>
        <b/>
        <i val="0"/>
        <color theme="0"/>
      </font>
      <fill>
        <patternFill>
          <bgColor theme="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0" tint="-0.14996795556505021"/>
        </patternFill>
      </fill>
    </dxf>
    <dxf>
      <font>
        <strike/>
      </font>
      <fill>
        <patternFill>
          <bgColor theme="0" tint="-0.14996795556505021"/>
        </patternFill>
      </fill>
    </dxf>
    <dxf>
      <font>
        <b/>
        <i val="0"/>
        <color rgb="FF002060"/>
      </font>
      <fill>
        <patternFill>
          <bgColor rgb="FFFFFF00"/>
        </patternFill>
      </fill>
    </dxf>
    <dxf>
      <font>
        <strike/>
      </font>
      <fill>
        <patternFill>
          <bgColor theme="0" tint="-0.14996795556505021"/>
        </patternFill>
      </fill>
    </dxf>
    <dxf>
      <font>
        <strike/>
      </font>
      <fill>
        <patternFill>
          <bgColor theme="0" tint="-0.14996795556505021"/>
        </patternFill>
      </fill>
    </dxf>
    <dxf>
      <font>
        <strike/>
      </font>
      <fill>
        <patternFill>
          <bgColor theme="0" tint="-0.14996795556505021"/>
        </patternFill>
      </fill>
    </dxf>
    <dxf>
      <font>
        <strike/>
      </font>
      <fill>
        <patternFill>
          <bgColor theme="0" tint="-0.14996795556505021"/>
        </patternFill>
      </fill>
    </dxf>
    <dxf>
      <font>
        <strike/>
      </font>
      <fill>
        <patternFill>
          <bgColor theme="0" tint="-0.14996795556505021"/>
        </patternFill>
      </fill>
    </dxf>
    <dxf>
      <font>
        <strike/>
      </font>
      <fill>
        <patternFill>
          <bgColor theme="0" tint="-0.14996795556505021"/>
        </patternFill>
      </fill>
    </dxf>
    <dxf>
      <font>
        <b/>
        <i val="0"/>
      </font>
      <fill>
        <patternFill>
          <bgColor theme="9" tint="0.59996337778862885"/>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0" tint="-0.14996795556505021"/>
        </patternFill>
      </fill>
    </dxf>
    <dxf>
      <font>
        <strike/>
      </font>
      <fill>
        <patternFill>
          <bgColor theme="0" tint="-0.14996795556505021"/>
        </patternFill>
      </fill>
    </dxf>
    <dxf>
      <font>
        <strike/>
      </font>
      <fill>
        <patternFill>
          <bgColor theme="0" tint="-0.14996795556505021"/>
        </patternFill>
      </fill>
    </dxf>
    <dxf>
      <font>
        <strike/>
      </font>
      <fill>
        <patternFill>
          <bgColor theme="0" tint="-0.14996795556505021"/>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strike/>
      </font>
      <fill>
        <patternFill>
          <bgColor theme="0" tint="-0.14996795556505021"/>
        </patternFill>
      </fill>
    </dxf>
    <dxf>
      <font>
        <strike/>
      </font>
      <fill>
        <patternFill>
          <bgColor theme="0" tint="-0.1499679555650502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color theme="0"/>
      </font>
      <fill>
        <patternFill>
          <bgColor rgb="FFFF0000"/>
        </patternFill>
      </fill>
    </dxf>
    <dxf>
      <fill>
        <patternFill>
          <bgColor rgb="FF92D050"/>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bgColor theme="9" tint="0.59996337778862885"/>
        </patternFill>
      </fill>
    </dxf>
    <dxf>
      <font>
        <b/>
        <i val="0"/>
      </font>
      <fill>
        <patternFill>
          <bgColor theme="9" tint="0.59996337778862885"/>
        </patternFill>
      </fill>
    </dxf>
    <dxf>
      <fill>
        <patternFill>
          <bgColor theme="9" tint="0.59996337778862885"/>
        </patternFill>
      </fill>
    </dxf>
    <dxf>
      <fill>
        <patternFill>
          <bgColor theme="4" tint="0.79998168889431442"/>
        </patternFill>
      </fill>
    </dxf>
    <dxf>
      <fill>
        <patternFill>
          <bgColor theme="9" tint="0.79998168889431442"/>
        </patternFill>
      </fill>
    </dxf>
    <dxf>
      <fill>
        <patternFill>
          <bgColor rgb="FFFFFF99"/>
        </patternFill>
      </fill>
    </dxf>
    <dxf>
      <fill>
        <patternFill>
          <bgColor rgb="FFFFC000"/>
        </patternFill>
      </fill>
    </dxf>
    <dxf>
      <font>
        <b/>
        <i val="0"/>
        <color theme="0"/>
      </font>
      <fill>
        <patternFill>
          <bgColor rgb="FFFF5050"/>
        </patternFill>
      </fill>
    </dxf>
    <dxf>
      <font>
        <b/>
        <i val="0"/>
        <color theme="0"/>
      </font>
      <fill>
        <patternFill>
          <bgColor theme="1"/>
        </patternFill>
      </fill>
    </dxf>
    <dxf>
      <font>
        <strike/>
      </font>
      <fill>
        <patternFill>
          <bgColor theme="2" tint="-0.24994659260841701"/>
        </patternFill>
      </fill>
    </dxf>
    <dxf>
      <font>
        <strike/>
      </font>
      <fill>
        <patternFill>
          <bgColor theme="2" tint="-0.24994659260841701"/>
        </patternFill>
      </fill>
    </dxf>
    <dxf>
      <font>
        <strike/>
      </font>
      <fill>
        <patternFill>
          <bgColor theme="2" tint="-0.24994659260841701"/>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alignment horizontal="center"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4" formatCode="0.00%"/>
      <fill>
        <patternFill patternType="solid">
          <fgColor indexed="64"/>
          <bgColor theme="8" tint="0.79998168889431442"/>
        </patternFill>
      </fill>
      <alignment horizontal="general" vertical="center" textRotation="0" wrapText="0" indent="0" justifyLastLine="0" shrinkToFit="0" readingOrder="0"/>
    </dxf>
    <dxf>
      <fill>
        <patternFill patternType="solid">
          <fgColor indexed="64"/>
          <bgColor theme="8"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8"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8" tint="0.79998168889431442"/>
        </patternFill>
      </fill>
      <alignment horizontal="general" vertical="center" textRotation="0" wrapText="1" indent="0" justifyLastLine="0" shrinkToFit="0" readingOrder="0"/>
    </dxf>
    <dxf>
      <font>
        <b/>
        <i val="0"/>
        <strike val="0"/>
        <condense val="0"/>
        <extend val="0"/>
        <outline val="0"/>
        <shadow val="0"/>
        <u val="none"/>
        <vertAlign val="baseline"/>
        <sz val="16"/>
        <color theme="1"/>
        <name val="Aptos Narrow"/>
        <family val="2"/>
        <scheme val="minor"/>
      </font>
      <numFmt numFmtId="166" formatCode="0.0%"/>
      <fill>
        <patternFill patternType="solid">
          <fgColor indexed="64"/>
          <bgColor theme="7" tint="0.59999389629810485"/>
        </patternFill>
      </fill>
      <alignment horizontal="general" vertical="center" textRotation="0" wrapText="0" indent="0" justifyLastLine="0" shrinkToFit="0" readingOrder="0"/>
    </dxf>
    <dxf>
      <font>
        <b/>
        <i val="0"/>
        <strike val="0"/>
        <condense val="0"/>
        <extend val="0"/>
        <outline val="0"/>
        <shadow val="0"/>
        <u val="none"/>
        <vertAlign val="baseline"/>
        <sz val="16"/>
        <color theme="1"/>
        <name val="Aptos Narrow"/>
        <family val="2"/>
        <scheme val="minor"/>
      </font>
      <numFmt numFmtId="166" formatCode="0.0%"/>
      <fill>
        <patternFill patternType="solid">
          <fgColor indexed="64"/>
          <bgColor theme="7" tint="0.59999389629810485"/>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1" formatCode="0"/>
      <fill>
        <patternFill patternType="solid">
          <fgColor indexed="64"/>
          <bgColor theme="9" tint="0.59999389629810485"/>
        </patternFill>
      </fill>
      <alignment horizontal="general" vertical="center" textRotation="0" wrapText="0" indent="0" justifyLastLine="0" shrinkToFit="0" readingOrder="0"/>
    </dxf>
    <dxf>
      <alignment horizontal="center" vertical="center" textRotation="0" wrapText="0" indent="0" justifyLastLine="0" shrinkToFit="0" readingOrder="0"/>
    </dxf>
    <dxf>
      <font>
        <b/>
      </font>
      <fill>
        <patternFill patternType="solid">
          <fgColor indexed="64"/>
          <bgColor theme="8" tint="0.79998168889431442"/>
        </patternFill>
      </fill>
      <alignment horizontal="general" vertical="center" textRotation="0" wrapText="0" indent="0" justifyLastLine="0" shrinkToFit="0" readingOrder="0"/>
    </dxf>
    <dxf>
      <numFmt numFmtId="30" formatCode="@"/>
      <fill>
        <patternFill patternType="solid">
          <fgColor indexed="64"/>
          <bgColor theme="8" tint="0.79998168889431442"/>
        </patternFill>
      </fill>
      <alignment horizontal="general" vertical="center" textRotation="0" wrapText="0" indent="0" justifyLastLine="0" shrinkToFit="0" readingOrder="0"/>
    </dxf>
  </dxfs>
  <tableStyles count="0" defaultTableStyle="TableStyleMedium2" defaultPivotStyle="PivotStyleLight16"/>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E08011-4A6A-4000-830D-D17D021BAC9B}" name="Table1" displayName="Table1" ref="A1:P152" totalsRowShown="0">
  <autoFilter ref="A1:P152" xr:uid="{ADE08011-4A6A-4000-830D-D17D021BAC9B}"/>
  <sortState xmlns:xlrd2="http://schemas.microsoft.com/office/spreadsheetml/2017/richdata2" ref="A2:P152">
    <sortCondition ref="A1:A152"/>
  </sortState>
  <tableColumns count="16">
    <tableColumn id="1" xr3:uid="{2A358803-2094-438F-81FB-754A219EBC97}" name="Run ID" dataDxfId="409"/>
    <tableColumn id="2" xr3:uid="{2B7A5B52-988F-48CB-8C2D-FBD3E726FC37}" name="Starting country" dataDxfId="408"/>
    <tableColumn id="3" xr3:uid="{1F087CB1-AE17-4BF4-8343-42E4AC85C84F}" name="Run difficulty" dataDxfId="407"/>
    <tableColumn id="4" xr3:uid="{AC432C83-357D-45D4-A652-8E8301E02DE3}" name="Run value" dataDxfId="406">
      <calculatedColumnFormula>SUMIFS($L:$L,$A:$A,$A2)</calculatedColumnFormula>
    </tableColumn>
    <tableColumn id="5" xr3:uid="{B528C697-88A1-4DC1-BE2B-7CC454A47739}" name="Run value2" dataDxfId="405" dataCellStyle="Percent">
      <calculatedColumnFormula>D2/'Top 10 Hard'!$J$2</calculatedColumnFormula>
    </tableColumn>
    <tableColumn id="16" xr3:uid="{5508047E-6CC1-412D-A84D-DF8E15D1D3E1}" name="Progress" dataDxfId="404" dataCellStyle="Percent">
      <calculatedColumnFormula>IF(NOT(ISNUMBER(F1)),0,F1)+Table1[[#This Row],[Points]]/'Top 10 Hard'!$J$2</calculatedColumnFormula>
    </tableColumn>
    <tableColumn id="6" xr3:uid="{3592D6E8-B3DF-4DDC-8C34-4CA647CCD6B3}" name="Name" dataDxfId="403"/>
    <tableColumn id="7" xr3:uid="{7C458D79-B32B-4DFF-86B2-850254040DD6}" name="Done?" dataDxfId="402">
      <calculatedColumnFormula>IF(VLOOKUP($G2,List!$A:$O,15,FALSE)=0,"",VLOOKUP($G2,List!$A:$O,15,FALSE))</calculatedColumnFormula>
    </tableColumn>
    <tableColumn id="8" xr3:uid="{867A16E0-7477-4A62-9375-9274766D2E3D}" name="Description" dataDxfId="401">
      <calculatedColumnFormula>VLOOKUP($G2,List!$A:$U,2,FALSE)</calculatedColumnFormula>
    </tableColumn>
    <tableColumn id="9" xr3:uid="{A88E96AA-5CAE-47DC-82E9-E5B72146ACCC}" name="Percentage" dataDxfId="400" dataCellStyle="Percent">
      <calculatedColumnFormula>VLOOKUP($G2,List!$A:$U,3,FALSE)</calculatedColumnFormula>
    </tableColumn>
    <tableColumn id="10" xr3:uid="{8BA52EF8-218B-49B5-B024-F92573E5ED0B}" name="Difficulty" dataDxfId="399">
      <calculatedColumnFormula>VLOOKUP($G2,List!$A:$U,4,FALSE)</calculatedColumnFormula>
    </tableColumn>
    <tableColumn id="11" xr3:uid="{E590CA35-8469-4184-8608-316165F3F1C7}" name="Points" dataDxfId="398">
      <calculatedColumnFormula>VLOOKUP($G2,List!$A:$U,5,FALSE)</calculatedColumnFormula>
    </tableColumn>
    <tableColumn id="12" xr3:uid="{DACDAEA6-E5A3-4C83-8A2F-2E6F7DB7E7AD}" name="Starting conditions" dataDxfId="397">
      <calculatedColumnFormula>VLOOKUP($G2,List!$A:$U,17,FALSE)</calculatedColumnFormula>
    </tableColumn>
    <tableColumn id="13" xr3:uid="{DAA01A86-4222-4BC8-985A-5B83BE0BC360}" name="Cheesable with custom nation?" dataDxfId="396"/>
    <tableColumn id="14" xr3:uid="{8692F137-D924-4809-8BFE-60F4178540F4}" name="Completion requirements" dataDxfId="395">
      <calculatedColumnFormula>VLOOKUP($G2,List!$A:$U,18,FALSE)</calculatedColumnFormula>
    </tableColumn>
    <tableColumn id="15" xr3:uid="{7FEC67E6-0032-4544-95BD-7D6F69B1F882}" name="Notes1" dataDxfId="394">
      <calculatedColumnFormula>VLOOKUP($G2,List!$A:$U,19,FALSE)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01ED-E44C-4881-8F38-D7195B5D6C0E}">
  <dimension ref="A1:Y374"/>
  <sheetViews>
    <sheetView tabSelected="1" workbookViewId="0">
      <pane xSplit="1" ySplit="1" topLeftCell="B49" activePane="bottomRight" state="frozen"/>
      <selection pane="topRight" activeCell="B1" sqref="B1"/>
      <selection pane="bottomLeft" activeCell="A2" sqref="A2"/>
      <selection pane="bottomRight" activeCell="O375" sqref="O375"/>
    </sheetView>
  </sheetViews>
  <sheetFormatPr defaultRowHeight="15" outlineLevelCol="1" x14ac:dyDescent="0.25"/>
  <cols>
    <col min="1" max="1" width="43.7109375" bestFit="1" customWidth="1"/>
    <col min="2" max="2" width="69" bestFit="1" customWidth="1"/>
    <col min="3" max="3" width="10.42578125" bestFit="1" customWidth="1"/>
    <col min="4" max="4" width="8" style="5" bestFit="1" customWidth="1"/>
    <col min="5" max="5" width="10.28515625" bestFit="1" customWidth="1"/>
    <col min="6" max="7" width="8" style="5" hidden="1" customWidth="1" outlineLevel="1"/>
    <col min="8" max="8" width="10" style="5" hidden="1" customWidth="1" outlineLevel="1"/>
    <col min="9" max="14" width="8" style="5" hidden="1" customWidth="1" outlineLevel="1"/>
    <col min="15" max="15" width="9.140625" style="5" collapsed="1"/>
    <col min="16" max="16" width="14.5703125" style="1" customWidth="1"/>
    <col min="17" max="17" width="28.140625" customWidth="1" outlineLevel="1"/>
    <col min="18" max="18" width="60.140625" customWidth="1" outlineLevel="1"/>
    <col min="19" max="19" width="43.28515625" customWidth="1" outlineLevel="1"/>
    <col min="20" max="20" width="28.140625" customWidth="1" outlineLevel="1"/>
    <col min="21" max="21" width="11.140625" customWidth="1"/>
    <col min="22" max="23" width="9.140625" hidden="1" customWidth="1"/>
    <col min="24" max="24" width="11.140625" hidden="1" customWidth="1"/>
  </cols>
  <sheetData>
    <row r="1" spans="1:25" ht="22.5" customHeight="1" x14ac:dyDescent="0.25">
      <c r="A1" s="11" t="s">
        <v>634</v>
      </c>
      <c r="B1" s="11" t="s">
        <v>635</v>
      </c>
      <c r="C1" s="11" t="s">
        <v>637</v>
      </c>
      <c r="D1" s="12" t="s">
        <v>636</v>
      </c>
      <c r="E1" s="12" t="s">
        <v>1668</v>
      </c>
      <c r="F1" s="12" t="s">
        <v>1639</v>
      </c>
      <c r="G1" s="12" t="s">
        <v>1641</v>
      </c>
      <c r="H1" s="12" t="s">
        <v>1642</v>
      </c>
      <c r="I1" s="12" t="s">
        <v>1643</v>
      </c>
      <c r="J1" s="12" t="s">
        <v>1645</v>
      </c>
      <c r="K1" s="12" t="s">
        <v>1647</v>
      </c>
      <c r="L1" s="12" t="s">
        <v>1644</v>
      </c>
      <c r="M1" s="12" t="s">
        <v>1648</v>
      </c>
      <c r="N1" s="12" t="s">
        <v>1649</v>
      </c>
      <c r="O1" s="12" t="s">
        <v>754</v>
      </c>
      <c r="P1" s="11" t="s">
        <v>758</v>
      </c>
      <c r="Q1" s="13" t="s">
        <v>766</v>
      </c>
      <c r="R1" s="13" t="s">
        <v>767</v>
      </c>
      <c r="S1" s="13" t="s">
        <v>1636</v>
      </c>
      <c r="T1" s="13" t="s">
        <v>1637</v>
      </c>
      <c r="U1" s="11" t="s">
        <v>1655</v>
      </c>
      <c r="V1" s="11" t="s">
        <v>1656</v>
      </c>
      <c r="W1" s="11" t="s">
        <v>1657</v>
      </c>
      <c r="X1" s="11" t="s">
        <v>1674</v>
      </c>
      <c r="Y1" s="11" t="s">
        <v>1878</v>
      </c>
    </row>
    <row r="2" spans="1:25" ht="22.5" customHeight="1" x14ac:dyDescent="0.25">
      <c r="A2" s="2" t="s">
        <v>568</v>
      </c>
      <c r="B2" s="2" t="s">
        <v>697</v>
      </c>
      <c r="C2" s="3">
        <v>2E-3</v>
      </c>
      <c r="D2" s="6" t="s">
        <v>434</v>
      </c>
      <c r="E2">
        <f>(30-C2*100)*VLOOKUP($D2,Calc!$A$1:$C$6,3,FALSE)</f>
        <v>149</v>
      </c>
      <c r="F2" s="6">
        <f>VLOOKUP(D2,Calc!$A$1:$B$6,2,FALSE)</f>
        <v>4</v>
      </c>
      <c r="G2" s="10">
        <f t="shared" ref="G2:G65" si="0">C2+F2/10000</f>
        <v>2.4000000000000002E-3</v>
      </c>
      <c r="H2" s="9">
        <f t="shared" ref="H2:H65" si="1">( (CODE(UPPER(LEFT(A2,1)))-64)+(CODE(UPPER(RIGHT(LEFT(A2,2),1)))-64)+(CODE(UPPER(RIGHT(LEFT(A2,3),1)))-64)+(CODE(UPPER(RIGHT(LEFT(A2,4),1)))-64)+(CODE(UPPER(RIGHT(LEFT(A2,5),1)))-64)+(CODE(UPPER(RIGHT(LEFT(A2,6),1)))-64)+(CODE(UPPER(RIGHT(LEFT(A2,7),1)))-64)+(CODE(UPPER(RIGHT(LEFT(A2,8),1)))-64) )/1000000</f>
        <v>7.3999999999999996E-5</v>
      </c>
      <c r="I2" s="10">
        <f t="shared" ref="I2:I65" si="2">G2+H2/10</f>
        <v>2.4074000000000001E-3</v>
      </c>
      <c r="J2" s="10">
        <f t="shared" ref="J2:J65" si="3">IF($O2="","",I2)</f>
        <v>2.4074000000000001E-3</v>
      </c>
      <c r="K2" s="10" t="str">
        <f t="shared" ref="K2:K65" si="4">IF($O2="",I2,"")</f>
        <v/>
      </c>
      <c r="L2" s="9">
        <f t="shared" ref="L2:L65" si="5">F2-I2</f>
        <v>3.9975925999999999</v>
      </c>
      <c r="M2" s="9">
        <f t="shared" ref="M2:M65" si="6">IF($O2="","",L2)</f>
        <v>3.9975925999999999</v>
      </c>
      <c r="N2" s="9" t="str">
        <f t="shared" ref="N2:N65" si="7">IF($O2="",L2,"")</f>
        <v/>
      </c>
      <c r="O2" s="4" t="s">
        <v>755</v>
      </c>
      <c r="P2" s="1" t="s">
        <v>1694</v>
      </c>
      <c r="Q2" s="7" t="s">
        <v>1623</v>
      </c>
      <c r="R2" s="8" t="s">
        <v>1624</v>
      </c>
      <c r="S2" s="7"/>
      <c r="T2" s="7"/>
      <c r="U2" t="str">
        <f t="shared" ref="U2:U65" si="8">IF($D2="E",K2,"")</f>
        <v/>
      </c>
      <c r="V2" t="str">
        <f t="shared" ref="V2:V65" si="9">IF($D2="M",K2,"")</f>
        <v/>
      </c>
      <c r="W2" t="str">
        <f t="shared" ref="W2:W65" si="10">IF($D2="H",K2,"")</f>
        <v/>
      </c>
      <c r="X2" t="str">
        <f t="shared" ref="X2:X65" si="11">IF($D2="VE",K2,"")</f>
        <v/>
      </c>
      <c r="Y2" t="e">
        <f>VLOOKUP($A2,Runs!$G:$G,1,FALSE)</f>
        <v>#N/A</v>
      </c>
    </row>
    <row r="3" spans="1:25" ht="22.5" customHeight="1" x14ac:dyDescent="0.25">
      <c r="A3" s="2" t="s">
        <v>564</v>
      </c>
      <c r="B3" s="2" t="s">
        <v>659</v>
      </c>
      <c r="C3" s="3">
        <v>2E-3</v>
      </c>
      <c r="D3" s="6" t="s">
        <v>434</v>
      </c>
      <c r="E3" s="23">
        <f>(30-C3*100)*VLOOKUP($D3,Calc!$A$1:$C$6,3,FALSE)</f>
        <v>149</v>
      </c>
      <c r="F3" s="6">
        <f>VLOOKUP(D3,Calc!$A$1:$B$6,2,FALSE)</f>
        <v>4</v>
      </c>
      <c r="G3" s="10">
        <f t="shared" si="0"/>
        <v>2.4000000000000002E-3</v>
      </c>
      <c r="H3" s="9">
        <f t="shared" si="1"/>
        <v>5.5000000000000002E-5</v>
      </c>
      <c r="I3" s="10">
        <f t="shared" si="2"/>
        <v>2.4055000000000001E-3</v>
      </c>
      <c r="J3" s="10">
        <f t="shared" si="3"/>
        <v>2.4055000000000001E-3</v>
      </c>
      <c r="K3" s="10" t="str">
        <f t="shared" si="4"/>
        <v/>
      </c>
      <c r="L3" s="9">
        <f t="shared" si="5"/>
        <v>3.9975944999999999</v>
      </c>
      <c r="M3" s="9">
        <f t="shared" si="6"/>
        <v>3.9975944999999999</v>
      </c>
      <c r="N3" s="9" t="str">
        <f t="shared" si="7"/>
        <v/>
      </c>
      <c r="O3" s="4" t="s">
        <v>755</v>
      </c>
      <c r="P3" s="1" t="s">
        <v>1666</v>
      </c>
      <c r="Q3" s="7" t="s">
        <v>1599</v>
      </c>
      <c r="R3" s="7" t="s">
        <v>1600</v>
      </c>
      <c r="S3" s="8" t="s">
        <v>1601</v>
      </c>
      <c r="T3" s="7"/>
      <c r="U3" t="str">
        <f t="shared" si="8"/>
        <v/>
      </c>
      <c r="V3" t="str">
        <f t="shared" si="9"/>
        <v/>
      </c>
      <c r="W3" t="str">
        <f t="shared" si="10"/>
        <v/>
      </c>
      <c r="X3" t="str">
        <f t="shared" si="11"/>
        <v/>
      </c>
      <c r="Y3" t="e">
        <f>VLOOKUP($A3,Runs!$G:$G,1,FALSE)</f>
        <v>#N/A</v>
      </c>
    </row>
    <row r="4" spans="1:25" ht="22.5" customHeight="1" x14ac:dyDescent="0.25">
      <c r="A4" s="2" t="s">
        <v>621</v>
      </c>
      <c r="B4" s="2" t="s">
        <v>690</v>
      </c>
      <c r="C4" s="3">
        <v>2E-3</v>
      </c>
      <c r="D4" s="6" t="s">
        <v>573</v>
      </c>
      <c r="E4">
        <f>(30-C4*100)*VLOOKUP($D4,Calc!$A$1:$C$6,3,FALSE)</f>
        <v>298</v>
      </c>
      <c r="F4" s="6">
        <f>VLOOKUP(D4,Calc!$A$1:$B$6,2,FALSE)</f>
        <v>5</v>
      </c>
      <c r="G4" s="10">
        <f t="shared" si="0"/>
        <v>2.5000000000000001E-3</v>
      </c>
      <c r="H4" s="9">
        <f t="shared" si="1"/>
        <v>3.6000000000000001E-5</v>
      </c>
      <c r="I4" s="10">
        <f t="shared" si="2"/>
        <v>2.5035999999999999E-3</v>
      </c>
      <c r="J4" s="10" t="str">
        <f t="shared" si="3"/>
        <v/>
      </c>
      <c r="K4" s="10">
        <f t="shared" si="4"/>
        <v>2.5035999999999999E-3</v>
      </c>
      <c r="L4" s="9">
        <f t="shared" si="5"/>
        <v>4.9974964000000002</v>
      </c>
      <c r="M4" s="9" t="str">
        <f t="shared" si="6"/>
        <v/>
      </c>
      <c r="N4" s="9">
        <f t="shared" si="7"/>
        <v>4.9974964000000002</v>
      </c>
      <c r="O4" s="4"/>
      <c r="Q4" s="7"/>
      <c r="R4" s="7" t="s">
        <v>1610</v>
      </c>
      <c r="S4" s="8" t="s">
        <v>1611</v>
      </c>
      <c r="T4" s="7"/>
      <c r="U4" t="str">
        <f t="shared" si="8"/>
        <v/>
      </c>
      <c r="V4" t="str">
        <f t="shared" si="9"/>
        <v/>
      </c>
      <c r="W4" t="str">
        <f t="shared" si="10"/>
        <v/>
      </c>
      <c r="X4" t="str">
        <f t="shared" si="11"/>
        <v/>
      </c>
      <c r="Y4" t="str">
        <f>VLOOKUP($A4,Runs!$G:$G,1,FALSE)</f>
        <v>Legacy of Saint George</v>
      </c>
    </row>
    <row r="5" spans="1:25" ht="22.5" customHeight="1" x14ac:dyDescent="0.25">
      <c r="A5" s="2" t="s">
        <v>619</v>
      </c>
      <c r="B5" s="2" t="s">
        <v>666</v>
      </c>
      <c r="C5" s="3">
        <v>2E-3</v>
      </c>
      <c r="D5" s="6" t="s">
        <v>573</v>
      </c>
      <c r="E5">
        <f>(30-C5*100)*VLOOKUP($D5,Calc!$A$1:$C$6,3,FALSE)</f>
        <v>298</v>
      </c>
      <c r="F5" s="6">
        <f>VLOOKUP(D5,Calc!$A$1:$B$6,2,FALSE)</f>
        <v>5</v>
      </c>
      <c r="G5" s="10">
        <f t="shared" si="0"/>
        <v>2.5000000000000001E-3</v>
      </c>
      <c r="H5" s="9">
        <f t="shared" si="1"/>
        <v>4.5000000000000003E-5</v>
      </c>
      <c r="I5" s="10">
        <f t="shared" si="2"/>
        <v>2.5045000000000002E-3</v>
      </c>
      <c r="J5" s="10">
        <f t="shared" si="3"/>
        <v>2.5045000000000002E-3</v>
      </c>
      <c r="K5" s="10" t="str">
        <f t="shared" si="4"/>
        <v/>
      </c>
      <c r="L5" s="9">
        <f t="shared" si="5"/>
        <v>4.9974955000000003</v>
      </c>
      <c r="M5" s="9">
        <f t="shared" si="6"/>
        <v>4.9974955000000003</v>
      </c>
      <c r="N5" s="9" t="str">
        <f t="shared" si="7"/>
        <v/>
      </c>
      <c r="O5" s="4" t="s">
        <v>755</v>
      </c>
      <c r="P5" s="1" t="s">
        <v>1862</v>
      </c>
      <c r="Q5" s="7" t="s">
        <v>1577</v>
      </c>
      <c r="R5" s="7" t="s">
        <v>1578</v>
      </c>
      <c r="S5" s="8" t="s">
        <v>1579</v>
      </c>
      <c r="T5" s="7"/>
      <c r="U5" t="str">
        <f t="shared" si="8"/>
        <v/>
      </c>
      <c r="V5" t="str">
        <f t="shared" si="9"/>
        <v/>
      </c>
      <c r="W5" t="str">
        <f t="shared" si="10"/>
        <v/>
      </c>
      <c r="X5" t="str">
        <f t="shared" si="11"/>
        <v/>
      </c>
      <c r="Y5" t="str">
        <f>VLOOKUP($A5,Runs!$G:$G,1,FALSE)</f>
        <v>From Frankfurt to the Andes</v>
      </c>
    </row>
    <row r="6" spans="1:25" ht="22.5" customHeight="1" x14ac:dyDescent="0.25">
      <c r="A6" s="2" t="s">
        <v>239</v>
      </c>
      <c r="B6" s="2" t="s">
        <v>742</v>
      </c>
      <c r="C6" s="3">
        <v>3.0000000000000001E-3</v>
      </c>
      <c r="D6" s="6" t="s">
        <v>105</v>
      </c>
      <c r="E6">
        <f>(30-C6*100)*VLOOKUP($D6,Calc!$A$1:$C$6,3,FALSE)</f>
        <v>29.7</v>
      </c>
      <c r="F6" s="6">
        <f>VLOOKUP(D6,Calc!$A$1:$B$6,2,FALSE)</f>
        <v>2</v>
      </c>
      <c r="G6" s="10">
        <f t="shared" si="0"/>
        <v>3.2000000000000002E-3</v>
      </c>
      <c r="H6" s="9">
        <f t="shared" si="1"/>
        <v>1.4200000000000001E-4</v>
      </c>
      <c r="I6" s="10">
        <f t="shared" si="2"/>
        <v>3.2142E-3</v>
      </c>
      <c r="J6" s="10" t="str">
        <f t="shared" si="3"/>
        <v/>
      </c>
      <c r="K6" s="10">
        <f t="shared" si="4"/>
        <v>3.2142E-3</v>
      </c>
      <c r="L6" s="9">
        <f t="shared" si="5"/>
        <v>1.9967858000000001</v>
      </c>
      <c r="M6" s="9" t="str">
        <f t="shared" si="6"/>
        <v/>
      </c>
      <c r="N6" s="9">
        <f t="shared" si="7"/>
        <v>1.9967858000000001</v>
      </c>
      <c r="O6" s="4"/>
      <c r="Q6" s="7" t="s">
        <v>1630</v>
      </c>
      <c r="R6" s="7" t="s">
        <v>1631</v>
      </c>
      <c r="S6" s="8" t="s">
        <v>1632</v>
      </c>
      <c r="T6" s="7"/>
      <c r="U6">
        <f t="shared" si="8"/>
        <v>3.2142E-3</v>
      </c>
      <c r="V6" t="str">
        <f t="shared" si="9"/>
        <v/>
      </c>
      <c r="W6" t="str">
        <f t="shared" si="10"/>
        <v/>
      </c>
      <c r="X6" t="str">
        <f t="shared" si="11"/>
        <v/>
      </c>
      <c r="Y6" t="str">
        <f>VLOOKUP($A6,Runs!$G:$G,1,FALSE)</f>
        <v>Timurizz</v>
      </c>
    </row>
    <row r="7" spans="1:25" ht="22.5" customHeight="1" x14ac:dyDescent="0.25">
      <c r="A7" s="2" t="s">
        <v>561</v>
      </c>
      <c r="B7" s="2" t="s">
        <v>562</v>
      </c>
      <c r="C7" s="3">
        <v>3.0000000000000001E-3</v>
      </c>
      <c r="D7" s="6" t="s">
        <v>434</v>
      </c>
      <c r="E7">
        <f>(30-C7*100)*VLOOKUP($D7,Calc!$A$1:$C$6,3,FALSE)</f>
        <v>148.5</v>
      </c>
      <c r="F7" s="6">
        <f>VLOOKUP(D7,Calc!$A$1:$B$6,2,FALSE)</f>
        <v>4</v>
      </c>
      <c r="G7" s="10">
        <f t="shared" si="0"/>
        <v>3.4000000000000002E-3</v>
      </c>
      <c r="H7" s="9">
        <f t="shared" si="1"/>
        <v>1.01E-4</v>
      </c>
      <c r="I7" s="10">
        <f t="shared" si="2"/>
        <v>3.4101000000000001E-3</v>
      </c>
      <c r="J7" s="10">
        <f t="shared" si="3"/>
        <v>3.4101000000000001E-3</v>
      </c>
      <c r="K7" s="10" t="str">
        <f t="shared" si="4"/>
        <v/>
      </c>
      <c r="L7" s="9">
        <f t="shared" si="5"/>
        <v>3.9965899</v>
      </c>
      <c r="M7" s="9">
        <f t="shared" si="6"/>
        <v>3.9965899</v>
      </c>
      <c r="N7" s="9" t="str">
        <f t="shared" si="7"/>
        <v/>
      </c>
      <c r="O7" s="4" t="s">
        <v>755</v>
      </c>
      <c r="P7" s="1" t="s">
        <v>1879</v>
      </c>
      <c r="Q7" s="7" t="s">
        <v>973</v>
      </c>
      <c r="R7" s="7" t="s">
        <v>1568</v>
      </c>
      <c r="S7" s="8" t="s">
        <v>1569</v>
      </c>
      <c r="T7" s="7"/>
      <c r="U7" t="str">
        <f t="shared" si="8"/>
        <v/>
      </c>
      <c r="V7" t="str">
        <f t="shared" si="9"/>
        <v/>
      </c>
      <c r="W7" t="str">
        <f t="shared" si="10"/>
        <v/>
      </c>
      <c r="X7" t="str">
        <f t="shared" si="11"/>
        <v/>
      </c>
      <c r="Y7" t="str">
        <f>VLOOKUP($A7,Runs!$G:$G,1,FALSE)</f>
        <v>Ultimate Military</v>
      </c>
    </row>
    <row r="8" spans="1:25" ht="22.5" customHeight="1" x14ac:dyDescent="0.25">
      <c r="A8" s="2" t="s">
        <v>531</v>
      </c>
      <c r="B8" s="2" t="s">
        <v>532</v>
      </c>
      <c r="C8" s="3">
        <v>3.0000000000000001E-3</v>
      </c>
      <c r="D8" s="6" t="s">
        <v>434</v>
      </c>
      <c r="E8">
        <f>(30-C8*100)*VLOOKUP($D8,Calc!$A$1:$C$6,3,FALSE)</f>
        <v>148.5</v>
      </c>
      <c r="F8" s="6">
        <f>VLOOKUP(D8,Calc!$A$1:$B$6,2,FALSE)</f>
        <v>4</v>
      </c>
      <c r="G8" s="10">
        <f t="shared" si="0"/>
        <v>3.4000000000000002E-3</v>
      </c>
      <c r="H8" s="9">
        <f t="shared" si="1"/>
        <v>6.7999999999999999E-5</v>
      </c>
      <c r="I8" s="10">
        <f t="shared" si="2"/>
        <v>3.4068000000000002E-3</v>
      </c>
      <c r="J8" s="10">
        <f t="shared" si="3"/>
        <v>3.4068000000000002E-3</v>
      </c>
      <c r="K8" s="10" t="str">
        <f t="shared" si="4"/>
        <v/>
      </c>
      <c r="L8" s="9">
        <f t="shared" si="5"/>
        <v>3.9965932</v>
      </c>
      <c r="M8" s="9">
        <f t="shared" si="6"/>
        <v>3.9965932</v>
      </c>
      <c r="N8" s="9" t="str">
        <f t="shared" si="7"/>
        <v/>
      </c>
      <c r="O8" s="4" t="s">
        <v>755</v>
      </c>
      <c r="P8" s="1" t="s">
        <v>2027</v>
      </c>
      <c r="Q8" s="7"/>
      <c r="R8" s="7" t="s">
        <v>1460</v>
      </c>
      <c r="S8" s="8" t="s">
        <v>1461</v>
      </c>
      <c r="T8" s="7"/>
      <c r="U8" t="str">
        <f t="shared" si="8"/>
        <v/>
      </c>
      <c r="V8" t="str">
        <f t="shared" si="9"/>
        <v/>
      </c>
      <c r="W8" t="str">
        <f t="shared" si="10"/>
        <v/>
      </c>
      <c r="X8" t="str">
        <f t="shared" si="11"/>
        <v/>
      </c>
      <c r="Y8" t="str">
        <f>VLOOKUP($A8,Runs!$G:$G,1,FALSE)</f>
        <v>Triple the Rome</v>
      </c>
    </row>
    <row r="9" spans="1:25" ht="22.5" customHeight="1" x14ac:dyDescent="0.25">
      <c r="A9" s="2" t="s">
        <v>566</v>
      </c>
      <c r="B9" s="2" t="s">
        <v>736</v>
      </c>
      <c r="C9" s="3">
        <v>3.0000000000000001E-3</v>
      </c>
      <c r="D9" s="6" t="s">
        <v>434</v>
      </c>
      <c r="E9">
        <f>(30-C9*100)*VLOOKUP($D9,Calc!$A$1:$C$6,3,FALSE)</f>
        <v>148.5</v>
      </c>
      <c r="F9" s="6">
        <f>VLOOKUP(D9,Calc!$A$1:$B$6,2,FALSE)</f>
        <v>4</v>
      </c>
      <c r="G9" s="10">
        <f t="shared" si="0"/>
        <v>3.4000000000000002E-3</v>
      </c>
      <c r="H9" s="9">
        <f t="shared" si="1"/>
        <v>7.4999999999999993E-5</v>
      </c>
      <c r="I9" s="10">
        <f t="shared" si="2"/>
        <v>3.4075000000000004E-3</v>
      </c>
      <c r="J9" s="10" t="str">
        <f t="shared" si="3"/>
        <v/>
      </c>
      <c r="K9" s="10">
        <f t="shared" si="4"/>
        <v>3.4075000000000004E-3</v>
      </c>
      <c r="L9" s="9">
        <f t="shared" si="5"/>
        <v>3.9965925000000002</v>
      </c>
      <c r="M9" s="9" t="str">
        <f t="shared" si="6"/>
        <v/>
      </c>
      <c r="N9" s="9">
        <f t="shared" si="7"/>
        <v>3.9965925000000002</v>
      </c>
      <c r="O9" s="4"/>
      <c r="Q9" s="7" t="s">
        <v>1612</v>
      </c>
      <c r="R9" s="8" t="s">
        <v>1613</v>
      </c>
      <c r="S9" s="7"/>
      <c r="T9" s="7"/>
      <c r="U9" t="str">
        <f t="shared" si="8"/>
        <v/>
      </c>
      <c r="V9" t="str">
        <f t="shared" si="9"/>
        <v/>
      </c>
      <c r="W9">
        <f t="shared" si="10"/>
        <v>3.4075000000000004E-3</v>
      </c>
      <c r="X9" t="str">
        <f t="shared" si="11"/>
        <v/>
      </c>
      <c r="Y9" t="str">
        <f>VLOOKUP($A9,Runs!$G:$G,1,FALSE)</f>
        <v>The Zoro-Austrians</v>
      </c>
    </row>
    <row r="10" spans="1:25" ht="22.5" customHeight="1" x14ac:dyDescent="0.25">
      <c r="A10" s="2" t="s">
        <v>522</v>
      </c>
      <c r="B10" s="2" t="s">
        <v>725</v>
      </c>
      <c r="C10" s="3">
        <v>3.0000000000000001E-3</v>
      </c>
      <c r="D10" s="6" t="s">
        <v>434</v>
      </c>
      <c r="E10">
        <f>(30-C10*100)*VLOOKUP($D10,Calc!$A$1:$C$6,3,FALSE)</f>
        <v>148.5</v>
      </c>
      <c r="F10" s="6">
        <f>VLOOKUP(D10,Calc!$A$1:$B$6,2,FALSE)</f>
        <v>4</v>
      </c>
      <c r="G10" s="10">
        <f t="shared" si="0"/>
        <v>3.4000000000000002E-3</v>
      </c>
      <c r="H10" s="9">
        <f t="shared" si="1"/>
        <v>3.4999999999999997E-5</v>
      </c>
      <c r="I10" s="10">
        <f t="shared" si="2"/>
        <v>3.4035000000000003E-3</v>
      </c>
      <c r="J10" s="10" t="str">
        <f t="shared" si="3"/>
        <v/>
      </c>
      <c r="K10" s="10">
        <f t="shared" si="4"/>
        <v>3.4035000000000003E-3</v>
      </c>
      <c r="L10" s="9">
        <f t="shared" si="5"/>
        <v>3.9965964999999999</v>
      </c>
      <c r="M10" s="9" t="str">
        <f t="shared" si="6"/>
        <v/>
      </c>
      <c r="N10" s="9">
        <f t="shared" si="7"/>
        <v>3.9965964999999999</v>
      </c>
      <c r="O10" s="4"/>
      <c r="Q10" s="7"/>
      <c r="R10" s="7" t="s">
        <v>1435</v>
      </c>
      <c r="S10" s="7" t="s">
        <v>1436</v>
      </c>
      <c r="T10" s="7" t="s">
        <v>1061</v>
      </c>
      <c r="U10" t="str">
        <f t="shared" si="8"/>
        <v/>
      </c>
      <c r="V10" t="str">
        <f t="shared" si="9"/>
        <v/>
      </c>
      <c r="W10">
        <f t="shared" si="10"/>
        <v>3.4035000000000003E-3</v>
      </c>
      <c r="X10" t="str">
        <f t="shared" si="11"/>
        <v/>
      </c>
      <c r="Y10" t="str">
        <f>VLOOKUP($A10,Runs!$G:$G,1,FALSE)</f>
        <v>The Freest Man in the World</v>
      </c>
    </row>
    <row r="11" spans="1:25" ht="22.5" customHeight="1" x14ac:dyDescent="0.25">
      <c r="A11" s="2" t="s">
        <v>569</v>
      </c>
      <c r="B11" s="2" t="s">
        <v>570</v>
      </c>
      <c r="C11" s="3">
        <v>3.0000000000000001E-3</v>
      </c>
      <c r="D11" s="6" t="s">
        <v>434</v>
      </c>
      <c r="E11">
        <f>(30-C11*100)*VLOOKUP($D11,Calc!$A$1:$C$6,3,FALSE)</f>
        <v>148.5</v>
      </c>
      <c r="F11" s="6">
        <f>VLOOKUP(D11,Calc!$A$1:$B$6,2,FALSE)</f>
        <v>4</v>
      </c>
      <c r="G11" s="10">
        <f t="shared" si="0"/>
        <v>3.4000000000000002E-3</v>
      </c>
      <c r="H11" s="9">
        <f t="shared" si="1"/>
        <v>5.8999999999999998E-5</v>
      </c>
      <c r="I11" s="10">
        <f t="shared" si="2"/>
        <v>3.4059000000000003E-3</v>
      </c>
      <c r="J11" s="10" t="str">
        <f t="shared" si="3"/>
        <v/>
      </c>
      <c r="K11" s="10">
        <f t="shared" si="4"/>
        <v>3.4059000000000003E-3</v>
      </c>
      <c r="L11" s="9">
        <f t="shared" si="5"/>
        <v>3.9965940999999998</v>
      </c>
      <c r="M11" s="9" t="str">
        <f t="shared" si="6"/>
        <v/>
      </c>
      <c r="N11" s="9">
        <f t="shared" si="7"/>
        <v>3.9965940999999998</v>
      </c>
      <c r="O11" s="4"/>
      <c r="Q11" s="7"/>
      <c r="R11" s="8" t="s">
        <v>1627</v>
      </c>
      <c r="S11" s="7"/>
      <c r="T11" s="7" t="s">
        <v>1336</v>
      </c>
      <c r="U11" t="str">
        <f t="shared" si="8"/>
        <v/>
      </c>
      <c r="V11" t="str">
        <f t="shared" si="9"/>
        <v/>
      </c>
      <c r="W11">
        <f t="shared" si="10"/>
        <v>3.4059000000000003E-3</v>
      </c>
      <c r="X11" t="str">
        <f t="shared" si="11"/>
        <v/>
      </c>
      <c r="Y11" t="str">
        <f>VLOOKUP($A11,Runs!$G:$G,1,FALSE)</f>
        <v>Baborg</v>
      </c>
    </row>
    <row r="12" spans="1:25" ht="22.5" customHeight="1" x14ac:dyDescent="0.25">
      <c r="A12" s="2" t="s">
        <v>456</v>
      </c>
      <c r="B12" s="2" t="s">
        <v>457</v>
      </c>
      <c r="C12" s="3">
        <v>3.0000000000000001E-3</v>
      </c>
      <c r="D12" s="6" t="s">
        <v>434</v>
      </c>
      <c r="E12">
        <f>(30-C12*100)*VLOOKUP($D12,Calc!$A$1:$C$6,3,FALSE)</f>
        <v>148.5</v>
      </c>
      <c r="F12" s="6">
        <f>VLOOKUP(D12,Calc!$A$1:$B$6,2,FALSE)</f>
        <v>4</v>
      </c>
      <c r="G12" s="10">
        <f t="shared" si="0"/>
        <v>3.4000000000000002E-3</v>
      </c>
      <c r="H12" s="9">
        <f t="shared" si="1"/>
        <v>1.01E-4</v>
      </c>
      <c r="I12" s="10">
        <f t="shared" si="2"/>
        <v>3.4101000000000001E-3</v>
      </c>
      <c r="J12" s="10" t="str">
        <f t="shared" si="3"/>
        <v/>
      </c>
      <c r="K12" s="10">
        <f t="shared" si="4"/>
        <v>3.4101000000000001E-3</v>
      </c>
      <c r="L12" s="9">
        <f t="shared" si="5"/>
        <v>3.9965899</v>
      </c>
      <c r="M12" s="9" t="str">
        <f t="shared" si="6"/>
        <v/>
      </c>
      <c r="N12" s="9">
        <f t="shared" si="7"/>
        <v>3.9965899</v>
      </c>
      <c r="O12" s="4"/>
      <c r="Q12" s="7" t="s">
        <v>1305</v>
      </c>
      <c r="R12" s="7" t="s">
        <v>1306</v>
      </c>
      <c r="S12" s="8" t="s">
        <v>1307</v>
      </c>
      <c r="T12" s="7"/>
      <c r="U12" t="str">
        <f t="shared" si="8"/>
        <v/>
      </c>
      <c r="V12" t="str">
        <f t="shared" si="9"/>
        <v/>
      </c>
      <c r="W12">
        <f t="shared" si="10"/>
        <v>3.4101000000000001E-3</v>
      </c>
      <c r="X12" t="str">
        <f t="shared" si="11"/>
        <v/>
      </c>
      <c r="Y12" t="str">
        <f>VLOOKUP($A12,Runs!$G:$G,1,FALSE)</f>
        <v>Australia-Hungary</v>
      </c>
    </row>
    <row r="13" spans="1:25" ht="22.5" customHeight="1" x14ac:dyDescent="0.25">
      <c r="A13" s="2" t="s">
        <v>633</v>
      </c>
      <c r="B13" s="2" t="s">
        <v>698</v>
      </c>
      <c r="C13" s="3">
        <v>3.0000000000000001E-3</v>
      </c>
      <c r="D13" s="6" t="s">
        <v>626</v>
      </c>
      <c r="E13">
        <f>(30-C13*100)*VLOOKUP($D13,Calc!$A$1:$C$6,3,FALSE)</f>
        <v>891</v>
      </c>
      <c r="F13" s="6">
        <f>VLOOKUP(D13,Calc!$A$1:$B$6,2,FALSE)</f>
        <v>6</v>
      </c>
      <c r="G13" s="10">
        <f t="shared" si="0"/>
        <v>3.5999999999999999E-3</v>
      </c>
      <c r="H13" s="9">
        <f t="shared" si="1"/>
        <v>5.8E-5</v>
      </c>
      <c r="I13" s="10">
        <f t="shared" si="2"/>
        <v>3.6057999999999997E-3</v>
      </c>
      <c r="J13" s="10" t="str">
        <f t="shared" si="3"/>
        <v/>
      </c>
      <c r="K13" s="10">
        <f t="shared" si="4"/>
        <v>3.6057999999999997E-3</v>
      </c>
      <c r="L13" s="9">
        <f t="shared" si="5"/>
        <v>5.9963942000000001</v>
      </c>
      <c r="M13" s="9" t="str">
        <f t="shared" si="6"/>
        <v/>
      </c>
      <c r="N13" s="9">
        <f t="shared" si="7"/>
        <v>5.9963942000000001</v>
      </c>
      <c r="O13" s="4"/>
      <c r="Q13" s="7" t="s">
        <v>1591</v>
      </c>
      <c r="R13" s="8" t="s">
        <v>1592</v>
      </c>
      <c r="S13" s="7"/>
      <c r="T13" s="7"/>
      <c r="U13" t="str">
        <f t="shared" si="8"/>
        <v/>
      </c>
      <c r="V13" t="str">
        <f t="shared" si="9"/>
        <v/>
      </c>
      <c r="W13" t="str">
        <f t="shared" si="10"/>
        <v/>
      </c>
      <c r="X13" t="str">
        <f t="shared" si="11"/>
        <v/>
      </c>
      <c r="Y13" t="str">
        <f>VLOOKUP($A13,Runs!$G:$G,1,FALSE)</f>
        <v>Mehmet's Ambition</v>
      </c>
    </row>
    <row r="14" spans="1:25" ht="22.5" customHeight="1" x14ac:dyDescent="0.25">
      <c r="A14" s="2" t="s">
        <v>432</v>
      </c>
      <c r="B14" s="2" t="s">
        <v>727</v>
      </c>
      <c r="C14" s="3">
        <v>3.0000000000000001E-3</v>
      </c>
      <c r="D14" s="6" t="s">
        <v>242</v>
      </c>
      <c r="E14">
        <f>(30-C14*100)*VLOOKUP($D14,Calc!$A$1:$C$6,3,FALSE)</f>
        <v>74.25</v>
      </c>
      <c r="F14" s="6">
        <f>VLOOKUP(D14,Calc!$A$1:$B$6,2,FALSE)</f>
        <v>3</v>
      </c>
      <c r="G14" s="10">
        <f t="shared" si="0"/>
        <v>3.3E-3</v>
      </c>
      <c r="H14" s="9">
        <f t="shared" si="1"/>
        <v>5.1E-5</v>
      </c>
      <c r="I14" s="10">
        <f t="shared" si="2"/>
        <v>3.3051000000000001E-3</v>
      </c>
      <c r="J14" s="10">
        <f t="shared" si="3"/>
        <v>3.3051000000000001E-3</v>
      </c>
      <c r="K14" s="10" t="str">
        <f t="shared" si="4"/>
        <v/>
      </c>
      <c r="L14" s="9">
        <f t="shared" si="5"/>
        <v>2.9966949000000001</v>
      </c>
      <c r="M14" s="9">
        <f t="shared" si="6"/>
        <v>2.9966949000000001</v>
      </c>
      <c r="N14" s="9" t="str">
        <f t="shared" si="7"/>
        <v/>
      </c>
      <c r="O14" s="4" t="s">
        <v>755</v>
      </c>
      <c r="P14" s="1" t="s">
        <v>1710</v>
      </c>
      <c r="Q14" s="7" t="s">
        <v>1633</v>
      </c>
      <c r="R14" s="7" t="s">
        <v>1634</v>
      </c>
      <c r="S14" s="8" t="s">
        <v>1635</v>
      </c>
      <c r="T14" s="7"/>
      <c r="U14" t="str">
        <f t="shared" si="8"/>
        <v/>
      </c>
      <c r="V14" t="str">
        <f t="shared" si="9"/>
        <v/>
      </c>
      <c r="W14" t="str">
        <f t="shared" si="10"/>
        <v/>
      </c>
      <c r="X14" t="str">
        <f t="shared" si="11"/>
        <v/>
      </c>
      <c r="Y14" t="e">
        <f>VLOOKUP($A14,Runs!$G:$G,1,FALSE)</f>
        <v>#N/A</v>
      </c>
    </row>
    <row r="15" spans="1:25" ht="22.5" customHeight="1" x14ac:dyDescent="0.25">
      <c r="A15" s="2" t="s">
        <v>426</v>
      </c>
      <c r="B15" s="2" t="s">
        <v>427</v>
      </c>
      <c r="C15" s="3">
        <v>3.0000000000000001E-3</v>
      </c>
      <c r="D15" s="6" t="s">
        <v>242</v>
      </c>
      <c r="E15">
        <f>(30-C15*100)*VLOOKUP($D15,Calc!$A$1:$C$6,3,FALSE)</f>
        <v>74.25</v>
      </c>
      <c r="F15" s="6">
        <f>VLOOKUP(D15,Calc!$A$1:$B$6,2,FALSE)</f>
        <v>3</v>
      </c>
      <c r="G15" s="10">
        <f t="shared" si="0"/>
        <v>3.3E-3</v>
      </c>
      <c r="H15" s="9">
        <f t="shared" si="1"/>
        <v>1.5999999999999999E-5</v>
      </c>
      <c r="I15" s="10">
        <f t="shared" si="2"/>
        <v>3.3016E-3</v>
      </c>
      <c r="J15" s="10">
        <f t="shared" si="3"/>
        <v>3.3016E-3</v>
      </c>
      <c r="K15" s="10" t="str">
        <f t="shared" si="4"/>
        <v/>
      </c>
      <c r="L15" s="9">
        <f t="shared" si="5"/>
        <v>2.9966984000000001</v>
      </c>
      <c r="M15" s="9">
        <f t="shared" si="6"/>
        <v>2.9966984000000001</v>
      </c>
      <c r="N15" s="9" t="str">
        <f t="shared" si="7"/>
        <v/>
      </c>
      <c r="O15" s="4" t="s">
        <v>755</v>
      </c>
      <c r="P15" s="1" t="s">
        <v>1862</v>
      </c>
      <c r="Q15" s="7" t="s">
        <v>1614</v>
      </c>
      <c r="R15" s="8" t="s">
        <v>1615</v>
      </c>
      <c r="S15" s="7"/>
      <c r="T15" s="7"/>
      <c r="U15" t="str">
        <f t="shared" si="8"/>
        <v/>
      </c>
      <c r="V15" t="str">
        <f t="shared" si="9"/>
        <v/>
      </c>
      <c r="W15" t="str">
        <f t="shared" si="10"/>
        <v/>
      </c>
      <c r="X15" t="str">
        <f t="shared" si="11"/>
        <v/>
      </c>
      <c r="Y15" t="str">
        <f>VLOOKUP($A15,Runs!$G:$G,1,FALSE)</f>
        <v>It's all coming together</v>
      </c>
    </row>
    <row r="16" spans="1:25" ht="22.5" customHeight="1" x14ac:dyDescent="0.25">
      <c r="A16" s="2" t="s">
        <v>291</v>
      </c>
      <c r="B16" s="2" t="s">
        <v>292</v>
      </c>
      <c r="C16" s="3">
        <v>3.0000000000000001E-3</v>
      </c>
      <c r="D16" s="6" t="s">
        <v>242</v>
      </c>
      <c r="E16">
        <f>(30-C16*100)*VLOOKUP($D16,Calc!$A$1:$C$6,3,FALSE)</f>
        <v>74.25</v>
      </c>
      <c r="F16" s="6">
        <f>VLOOKUP(D16,Calc!$A$1:$B$6,2,FALSE)</f>
        <v>3</v>
      </c>
      <c r="G16" s="10">
        <f t="shared" si="0"/>
        <v>3.3E-3</v>
      </c>
      <c r="H16" s="9">
        <f t="shared" si="1"/>
        <v>7.4999999999999993E-5</v>
      </c>
      <c r="I16" s="10">
        <f t="shared" si="2"/>
        <v>3.3075000000000001E-3</v>
      </c>
      <c r="J16" s="10">
        <f t="shared" si="3"/>
        <v>3.3075000000000001E-3</v>
      </c>
      <c r="K16" s="10" t="str">
        <f t="shared" si="4"/>
        <v/>
      </c>
      <c r="L16" s="9">
        <f t="shared" si="5"/>
        <v>2.9966925</v>
      </c>
      <c r="M16" s="9">
        <f t="shared" si="6"/>
        <v>2.9966925</v>
      </c>
      <c r="N16" s="9" t="str">
        <f t="shared" si="7"/>
        <v/>
      </c>
      <c r="O16" s="4" t="s">
        <v>755</v>
      </c>
      <c r="P16" s="1" t="s">
        <v>1872</v>
      </c>
      <c r="Q16" s="7" t="s">
        <v>1115</v>
      </c>
      <c r="R16" s="7" t="s">
        <v>1116</v>
      </c>
      <c r="S16" s="8" t="s">
        <v>1117</v>
      </c>
      <c r="T16" s="7"/>
      <c r="U16" t="str">
        <f t="shared" si="8"/>
        <v/>
      </c>
      <c r="V16" t="str">
        <f t="shared" si="9"/>
        <v/>
      </c>
      <c r="W16" t="str">
        <f t="shared" si="10"/>
        <v/>
      </c>
      <c r="X16" t="str">
        <f t="shared" si="11"/>
        <v/>
      </c>
      <c r="Y16" t="str">
        <f>VLOOKUP($A16,Runs!$G:$G,1,FALSE)</f>
        <v>Hanukkah Mutapa</v>
      </c>
    </row>
    <row r="17" spans="1:25" ht="22.5" customHeight="1" x14ac:dyDescent="0.25">
      <c r="A17" s="2" t="s">
        <v>622</v>
      </c>
      <c r="B17" s="2" t="s">
        <v>623</v>
      </c>
      <c r="C17" s="3">
        <v>3.0000000000000001E-3</v>
      </c>
      <c r="D17" s="6" t="s">
        <v>573</v>
      </c>
      <c r="E17">
        <f>(30-C17*100)*VLOOKUP($D17,Calc!$A$1:$C$6,3,FALSE)</f>
        <v>297</v>
      </c>
      <c r="F17" s="6">
        <f>VLOOKUP(D17,Calc!$A$1:$B$6,2,FALSE)</f>
        <v>5</v>
      </c>
      <c r="G17" s="10">
        <f t="shared" si="0"/>
        <v>3.5000000000000001E-3</v>
      </c>
      <c r="H17" s="9">
        <f t="shared" si="1"/>
        <v>2.5999999999999998E-5</v>
      </c>
      <c r="I17" s="10">
        <f t="shared" si="2"/>
        <v>3.5026000000000002E-3</v>
      </c>
      <c r="J17" s="10">
        <f t="shared" si="3"/>
        <v>3.5026000000000002E-3</v>
      </c>
      <c r="K17" s="10" t="str">
        <f t="shared" si="4"/>
        <v/>
      </c>
      <c r="L17" s="9">
        <f t="shared" si="5"/>
        <v>4.9964974</v>
      </c>
      <c r="M17" s="9">
        <f t="shared" si="6"/>
        <v>4.9964974</v>
      </c>
      <c r="N17" s="9" t="str">
        <f t="shared" si="7"/>
        <v/>
      </c>
      <c r="O17" s="4" t="s">
        <v>755</v>
      </c>
      <c r="P17" s="1" t="s">
        <v>1679</v>
      </c>
      <c r="Q17" s="7" t="s">
        <v>1621</v>
      </c>
      <c r="R17" s="8" t="s">
        <v>1622</v>
      </c>
      <c r="S17" s="7"/>
      <c r="T17" s="7"/>
      <c r="U17" t="str">
        <f t="shared" si="8"/>
        <v/>
      </c>
      <c r="V17" t="str">
        <f t="shared" si="9"/>
        <v/>
      </c>
      <c r="W17" t="str">
        <f t="shared" si="10"/>
        <v/>
      </c>
      <c r="X17" t="str">
        <f t="shared" si="11"/>
        <v/>
      </c>
      <c r="Y17" t="e">
        <f>VLOOKUP($A17,Runs!$G:$G,1,FALSE)</f>
        <v>#N/A</v>
      </c>
    </row>
    <row r="18" spans="1:25" ht="22.5" customHeight="1" x14ac:dyDescent="0.25">
      <c r="A18" s="2" t="s">
        <v>599</v>
      </c>
      <c r="B18" s="2" t="s">
        <v>600</v>
      </c>
      <c r="C18" s="3">
        <v>3.0000000000000001E-3</v>
      </c>
      <c r="D18" s="6" t="s">
        <v>573</v>
      </c>
      <c r="E18">
        <f>(30-C18*100)*VLOOKUP($D18,Calc!$A$1:$C$6,3,FALSE)</f>
        <v>297</v>
      </c>
      <c r="F18" s="6">
        <f>VLOOKUP(D18,Calc!$A$1:$B$6,2,FALSE)</f>
        <v>5</v>
      </c>
      <c r="G18" s="10">
        <f t="shared" si="0"/>
        <v>3.5000000000000001E-3</v>
      </c>
      <c r="H18" s="9">
        <f t="shared" si="1"/>
        <v>1.46E-4</v>
      </c>
      <c r="I18" s="10">
        <f t="shared" si="2"/>
        <v>3.5146000000000001E-3</v>
      </c>
      <c r="J18" s="10">
        <f t="shared" si="3"/>
        <v>3.5146000000000001E-3</v>
      </c>
      <c r="K18" s="10" t="str">
        <f t="shared" si="4"/>
        <v/>
      </c>
      <c r="L18" s="9">
        <f t="shared" si="5"/>
        <v>4.9964854000000001</v>
      </c>
      <c r="M18" s="9">
        <f t="shared" si="6"/>
        <v>4.9964854000000001</v>
      </c>
      <c r="N18" s="9" t="str">
        <f t="shared" si="7"/>
        <v/>
      </c>
      <c r="O18" s="4" t="s">
        <v>755</v>
      </c>
      <c r="P18" s="1" t="s">
        <v>1880</v>
      </c>
      <c r="Q18" s="7" t="s">
        <v>1528</v>
      </c>
      <c r="R18" s="7" t="s">
        <v>1529</v>
      </c>
      <c r="S18" s="8" t="s">
        <v>1530</v>
      </c>
      <c r="T18" s="7"/>
      <c r="U18" t="str">
        <f t="shared" si="8"/>
        <v/>
      </c>
      <c r="V18" t="str">
        <f t="shared" si="9"/>
        <v/>
      </c>
      <c r="W18" t="str">
        <f t="shared" si="10"/>
        <v/>
      </c>
      <c r="X18" t="str">
        <f t="shared" si="11"/>
        <v/>
      </c>
      <c r="Y18" t="str">
        <f>VLOOKUP($A18,Runs!$G:$G,1,FALSE)</f>
        <v>Quizquiz Pro Quo</v>
      </c>
    </row>
    <row r="19" spans="1:25" ht="22.5" customHeight="1" x14ac:dyDescent="0.25">
      <c r="A19" s="2" t="s">
        <v>620</v>
      </c>
      <c r="B19" s="2" t="s">
        <v>699</v>
      </c>
      <c r="C19" s="3">
        <v>3.0000000000000001E-3</v>
      </c>
      <c r="D19" s="6" t="s">
        <v>573</v>
      </c>
      <c r="E19">
        <f>(30-C19*100)*VLOOKUP($D19,Calc!$A$1:$C$6,3,FALSE)</f>
        <v>297</v>
      </c>
      <c r="F19" s="6">
        <f>VLOOKUP(D19,Calc!$A$1:$B$6,2,FALSE)</f>
        <v>5</v>
      </c>
      <c r="G19" s="10">
        <f t="shared" si="0"/>
        <v>3.5000000000000001E-3</v>
      </c>
      <c r="H19" s="9">
        <f t="shared" si="1"/>
        <v>5.8999999999999998E-5</v>
      </c>
      <c r="I19" s="10">
        <f t="shared" si="2"/>
        <v>3.5059000000000002E-3</v>
      </c>
      <c r="J19" s="10">
        <f t="shared" si="3"/>
        <v>3.5059000000000002E-3</v>
      </c>
      <c r="K19" s="10" t="str">
        <f t="shared" si="4"/>
        <v/>
      </c>
      <c r="L19" s="9">
        <f t="shared" si="5"/>
        <v>4.9964940999999996</v>
      </c>
      <c r="M19" s="9">
        <f t="shared" si="6"/>
        <v>4.9964940999999996</v>
      </c>
      <c r="N19" s="9" t="str">
        <f t="shared" si="7"/>
        <v/>
      </c>
      <c r="O19" s="4" t="s">
        <v>755</v>
      </c>
      <c r="P19" s="1" t="s">
        <v>1683</v>
      </c>
      <c r="Q19" s="7" t="s">
        <v>1596</v>
      </c>
      <c r="R19" s="7" t="s">
        <v>1597</v>
      </c>
      <c r="S19" s="8" t="s">
        <v>1598</v>
      </c>
      <c r="T19" s="7"/>
      <c r="U19" t="str">
        <f t="shared" si="8"/>
        <v/>
      </c>
      <c r="V19" t="str">
        <f t="shared" si="9"/>
        <v/>
      </c>
      <c r="W19" t="str">
        <f t="shared" si="10"/>
        <v/>
      </c>
      <c r="X19" t="str">
        <f t="shared" si="11"/>
        <v/>
      </c>
      <c r="Y19" t="e">
        <f>VLOOKUP($A19,Runs!$G:$G,1,FALSE)</f>
        <v>#N/A</v>
      </c>
    </row>
    <row r="20" spans="1:25" ht="22.5" customHeight="1" x14ac:dyDescent="0.25">
      <c r="A20" s="2" t="s">
        <v>585</v>
      </c>
      <c r="B20" s="2" t="s">
        <v>657</v>
      </c>
      <c r="C20" s="3">
        <v>3.0000000000000001E-3</v>
      </c>
      <c r="D20" s="6" t="s">
        <v>573</v>
      </c>
      <c r="E20">
        <f>(30-C20*100)*VLOOKUP($D20,Calc!$A$1:$C$6,3,FALSE)</f>
        <v>297</v>
      </c>
      <c r="F20" s="6">
        <f>VLOOKUP(D20,Calc!$A$1:$B$6,2,FALSE)</f>
        <v>5</v>
      </c>
      <c r="G20" s="10">
        <f t="shared" si="0"/>
        <v>3.5000000000000001E-3</v>
      </c>
      <c r="H20" s="9">
        <f t="shared" si="1"/>
        <v>1.0399999999999999E-4</v>
      </c>
      <c r="I20" s="10">
        <f t="shared" si="2"/>
        <v>3.5103999999999999E-3</v>
      </c>
      <c r="J20" s="10">
        <f t="shared" si="3"/>
        <v>3.5103999999999999E-3</v>
      </c>
      <c r="K20" s="10" t="str">
        <f t="shared" si="4"/>
        <v/>
      </c>
      <c r="L20" s="9">
        <f t="shared" si="5"/>
        <v>4.9964896000000003</v>
      </c>
      <c r="M20" s="9">
        <f t="shared" si="6"/>
        <v>4.9964896000000003</v>
      </c>
      <c r="N20" s="9" t="str">
        <f t="shared" si="7"/>
        <v/>
      </c>
      <c r="O20" s="4" t="s">
        <v>755</v>
      </c>
      <c r="P20" s="1" t="s">
        <v>1667</v>
      </c>
      <c r="Q20" s="7" t="s">
        <v>1149</v>
      </c>
      <c r="R20" s="7" t="s">
        <v>1490</v>
      </c>
      <c r="S20" s="8" t="s">
        <v>1491</v>
      </c>
      <c r="T20" s="7"/>
      <c r="U20" t="str">
        <f t="shared" si="8"/>
        <v/>
      </c>
      <c r="V20" t="str">
        <f t="shared" si="9"/>
        <v/>
      </c>
      <c r="W20" t="str">
        <f t="shared" si="10"/>
        <v/>
      </c>
      <c r="X20" t="str">
        <f t="shared" si="11"/>
        <v/>
      </c>
      <c r="Y20" t="e">
        <f>VLOOKUP($A20,Runs!$G:$G,1,FALSE)</f>
        <v>#N/A</v>
      </c>
    </row>
    <row r="21" spans="1:25" ht="22.5" customHeight="1" x14ac:dyDescent="0.25">
      <c r="A21" s="2" t="s">
        <v>618</v>
      </c>
      <c r="B21" s="2" t="s">
        <v>640</v>
      </c>
      <c r="C21" s="3">
        <v>3.0000000000000001E-3</v>
      </c>
      <c r="D21" s="6" t="s">
        <v>573</v>
      </c>
      <c r="E21">
        <f>(30-C21*100)*VLOOKUP($D21,Calc!$A$1:$C$6,3,FALSE)</f>
        <v>297</v>
      </c>
      <c r="F21" s="6">
        <f>VLOOKUP(D21,Calc!$A$1:$B$6,2,FALSE)</f>
        <v>5</v>
      </c>
      <c r="G21" s="10">
        <f t="shared" si="0"/>
        <v>3.5000000000000001E-3</v>
      </c>
      <c r="H21" s="9">
        <f t="shared" si="1"/>
        <v>3.3000000000000003E-5</v>
      </c>
      <c r="I21" s="10">
        <f t="shared" si="2"/>
        <v>3.5033E-3</v>
      </c>
      <c r="J21" s="10">
        <f t="shared" si="3"/>
        <v>3.5033E-3</v>
      </c>
      <c r="K21" s="10" t="str">
        <f t="shared" si="4"/>
        <v/>
      </c>
      <c r="L21" s="9">
        <f t="shared" si="5"/>
        <v>4.9964966999999998</v>
      </c>
      <c r="M21" s="9">
        <f t="shared" si="6"/>
        <v>4.9964966999999998</v>
      </c>
      <c r="N21" s="9" t="str">
        <f t="shared" si="7"/>
        <v/>
      </c>
      <c r="O21" s="4" t="s">
        <v>755</v>
      </c>
      <c r="P21" s="1" t="s">
        <v>1695</v>
      </c>
      <c r="Q21" s="7" t="s">
        <v>1225</v>
      </c>
      <c r="R21" s="7" t="s">
        <v>1575</v>
      </c>
      <c r="S21" s="8" t="s">
        <v>1576</v>
      </c>
      <c r="T21" s="7"/>
      <c r="U21" t="str">
        <f t="shared" si="8"/>
        <v/>
      </c>
      <c r="V21" t="str">
        <f t="shared" si="9"/>
        <v/>
      </c>
      <c r="W21" t="str">
        <f t="shared" si="10"/>
        <v/>
      </c>
      <c r="X21" t="str">
        <f t="shared" si="11"/>
        <v/>
      </c>
      <c r="Y21" t="e">
        <f>VLOOKUP($A21,Runs!$G:$G,1,FALSE)</f>
        <v>#N/A</v>
      </c>
    </row>
    <row r="22" spans="1:25" ht="22.5" customHeight="1" x14ac:dyDescent="0.25">
      <c r="A22" s="2" t="s">
        <v>156</v>
      </c>
      <c r="B22" s="2" t="s">
        <v>692</v>
      </c>
      <c r="C22" s="3">
        <v>4.0000000000000001E-3</v>
      </c>
      <c r="D22" s="6" t="s">
        <v>105</v>
      </c>
      <c r="E22">
        <f>(30-C22*100)*VLOOKUP($D22,Calc!$A$1:$C$6,3,FALSE)</f>
        <v>29.6</v>
      </c>
      <c r="F22" s="6">
        <f>VLOOKUP(D22,Calc!$A$1:$B$6,2,FALSE)</f>
        <v>2</v>
      </c>
      <c r="G22" s="10">
        <f t="shared" si="0"/>
        <v>4.1999999999999997E-3</v>
      </c>
      <c r="H22" s="9">
        <f t="shared" si="1"/>
        <v>9.0000000000000002E-6</v>
      </c>
      <c r="I22" s="10">
        <f t="shared" si="2"/>
        <v>4.2008999999999996E-3</v>
      </c>
      <c r="J22" s="10">
        <f t="shared" si="3"/>
        <v>4.2008999999999996E-3</v>
      </c>
      <c r="K22" s="10" t="str">
        <f t="shared" si="4"/>
        <v/>
      </c>
      <c r="L22" s="9">
        <f t="shared" si="5"/>
        <v>1.9957990999999999</v>
      </c>
      <c r="M22" s="9">
        <f t="shared" si="6"/>
        <v>1.9957990999999999</v>
      </c>
      <c r="N22" s="9" t="str">
        <f t="shared" si="7"/>
        <v/>
      </c>
      <c r="O22" s="4" t="s">
        <v>755</v>
      </c>
      <c r="P22" s="1" t="s">
        <v>1707</v>
      </c>
      <c r="Q22" s="7" t="s">
        <v>956</v>
      </c>
      <c r="R22" s="7" t="s">
        <v>957</v>
      </c>
      <c r="S22" s="8" t="s">
        <v>958</v>
      </c>
      <c r="T22" s="7"/>
      <c r="U22" t="str">
        <f t="shared" si="8"/>
        <v/>
      </c>
      <c r="V22" t="str">
        <f t="shared" si="9"/>
        <v/>
      </c>
      <c r="W22" t="str">
        <f t="shared" si="10"/>
        <v/>
      </c>
      <c r="X22" t="str">
        <f t="shared" si="11"/>
        <v/>
      </c>
      <c r="Y22" t="e">
        <f>VLOOKUP($A22,Runs!$G:$G,1,FALSE)</f>
        <v>#N/A</v>
      </c>
    </row>
    <row r="23" spans="1:25" ht="22.5" customHeight="1" x14ac:dyDescent="0.25">
      <c r="A23" s="2" t="s">
        <v>237</v>
      </c>
      <c r="B23" s="2" t="s">
        <v>238</v>
      </c>
      <c r="C23" s="3">
        <v>4.0000000000000001E-3</v>
      </c>
      <c r="D23" s="6" t="s">
        <v>105</v>
      </c>
      <c r="E23">
        <f>(30-C23*100)*VLOOKUP($D23,Calc!$A$1:$C$6,3,FALSE)</f>
        <v>29.6</v>
      </c>
      <c r="F23" s="6">
        <f>VLOOKUP(D23,Calc!$A$1:$B$6,2,FALSE)</f>
        <v>2</v>
      </c>
      <c r="G23" s="10">
        <f t="shared" si="0"/>
        <v>4.1999999999999997E-3</v>
      </c>
      <c r="H23" s="9">
        <f t="shared" si="1"/>
        <v>5.1999999999999997E-5</v>
      </c>
      <c r="I23" s="10">
        <f t="shared" si="2"/>
        <v>4.2052000000000001E-3</v>
      </c>
      <c r="J23" s="10">
        <f t="shared" si="3"/>
        <v>4.2052000000000001E-3</v>
      </c>
      <c r="K23" s="10" t="str">
        <f t="shared" si="4"/>
        <v/>
      </c>
      <c r="L23" s="9">
        <f t="shared" si="5"/>
        <v>1.9957948000000001</v>
      </c>
      <c r="M23" s="9">
        <f t="shared" si="6"/>
        <v>1.9957948000000001</v>
      </c>
      <c r="N23" s="9" t="str">
        <f t="shared" si="7"/>
        <v/>
      </c>
      <c r="O23" s="4" t="s">
        <v>755</v>
      </c>
      <c r="P23" s="1" t="s">
        <v>1782</v>
      </c>
      <c r="Q23" s="7"/>
      <c r="R23" s="7" t="s">
        <v>1602</v>
      </c>
      <c r="S23" s="8" t="s">
        <v>1603</v>
      </c>
      <c r="T23" s="7"/>
      <c r="U23" t="str">
        <f t="shared" si="8"/>
        <v/>
      </c>
      <c r="V23" t="str">
        <f t="shared" si="9"/>
        <v/>
      </c>
      <c r="W23" t="str">
        <f t="shared" si="10"/>
        <v/>
      </c>
      <c r="X23" t="str">
        <f t="shared" si="11"/>
        <v/>
      </c>
      <c r="Y23" t="str">
        <f>VLOOKUP($A23,Runs!$G:$G,1,FALSE)</f>
        <v>Breadbasket of the World</v>
      </c>
    </row>
    <row r="24" spans="1:25" ht="22.5" customHeight="1" x14ac:dyDescent="0.25">
      <c r="A24" s="2" t="s">
        <v>567</v>
      </c>
      <c r="B24" s="2" t="s">
        <v>748</v>
      </c>
      <c r="C24" s="3">
        <v>4.0000000000000001E-3</v>
      </c>
      <c r="D24" s="6" t="s">
        <v>434</v>
      </c>
      <c r="E24">
        <f>(30-C24*100)*VLOOKUP($D24,Calc!$A$1:$C$6,3,FALSE)</f>
        <v>148</v>
      </c>
      <c r="F24" s="6">
        <f>VLOOKUP(D24,Calc!$A$1:$B$6,2,FALSE)</f>
        <v>4</v>
      </c>
      <c r="G24" s="10">
        <f t="shared" si="0"/>
        <v>4.4000000000000003E-3</v>
      </c>
      <c r="H24" s="9">
        <f t="shared" si="1"/>
        <v>6.2000000000000003E-5</v>
      </c>
      <c r="I24" s="10">
        <f t="shared" si="2"/>
        <v>4.4061999999999999E-3</v>
      </c>
      <c r="J24" s="10">
        <f t="shared" si="3"/>
        <v>4.4061999999999999E-3</v>
      </c>
      <c r="K24" s="10" t="str">
        <f t="shared" si="4"/>
        <v/>
      </c>
      <c r="L24" s="9">
        <f t="shared" si="5"/>
        <v>3.9955938</v>
      </c>
      <c r="M24" s="9">
        <f t="shared" si="6"/>
        <v>3.9955938</v>
      </c>
      <c r="N24" s="9" t="str">
        <f t="shared" si="7"/>
        <v/>
      </c>
      <c r="O24" s="4" t="s">
        <v>755</v>
      </c>
      <c r="P24" s="1" t="s">
        <v>1665</v>
      </c>
      <c r="Q24" s="7" t="s">
        <v>1618</v>
      </c>
      <c r="R24" s="7" t="s">
        <v>1619</v>
      </c>
      <c r="S24" s="8" t="s">
        <v>1620</v>
      </c>
      <c r="T24" s="7"/>
      <c r="U24" t="str">
        <f t="shared" si="8"/>
        <v/>
      </c>
      <c r="V24" t="str">
        <f t="shared" si="9"/>
        <v/>
      </c>
      <c r="W24" t="str">
        <f t="shared" si="10"/>
        <v/>
      </c>
      <c r="X24" t="str">
        <f t="shared" si="11"/>
        <v/>
      </c>
      <c r="Y24" t="e">
        <f>VLOOKUP($A24,Runs!$G:$G,1,FALSE)</f>
        <v>#N/A</v>
      </c>
    </row>
    <row r="25" spans="1:25" ht="22.5" customHeight="1" x14ac:dyDescent="0.25">
      <c r="A25" s="2" t="s">
        <v>433</v>
      </c>
      <c r="B25" s="2" t="s">
        <v>709</v>
      </c>
      <c r="C25" s="3">
        <v>4.0000000000000001E-3</v>
      </c>
      <c r="D25" s="6" t="s">
        <v>434</v>
      </c>
      <c r="E25">
        <f>(30-C25*100)*VLOOKUP($D25,Calc!$A$1:$C$6,3,FALSE)</f>
        <v>148</v>
      </c>
      <c r="F25" s="6">
        <f>VLOOKUP(D25,Calc!$A$1:$B$6,2,FALSE)</f>
        <v>4</v>
      </c>
      <c r="G25" s="10">
        <f t="shared" si="0"/>
        <v>4.4000000000000003E-3</v>
      </c>
      <c r="H25" s="9">
        <f t="shared" si="1"/>
        <v>8.2999999999999998E-5</v>
      </c>
      <c r="I25" s="10">
        <f t="shared" si="2"/>
        <v>4.4083000000000004E-3</v>
      </c>
      <c r="J25" s="10">
        <f t="shared" si="3"/>
        <v>4.4083000000000004E-3</v>
      </c>
      <c r="K25" s="10" t="str">
        <f t="shared" si="4"/>
        <v/>
      </c>
      <c r="L25" s="9">
        <f t="shared" si="5"/>
        <v>3.9955916999999999</v>
      </c>
      <c r="M25" s="9">
        <f t="shared" si="6"/>
        <v>3.9955916999999999</v>
      </c>
      <c r="N25" s="9" t="str">
        <f t="shared" si="7"/>
        <v/>
      </c>
      <c r="O25" s="4" t="s">
        <v>755</v>
      </c>
      <c r="P25" s="1" t="s">
        <v>1678</v>
      </c>
      <c r="Q25" s="7" t="s">
        <v>987</v>
      </c>
      <c r="R25" s="7" t="s">
        <v>988</v>
      </c>
      <c r="S25" s="8" t="s">
        <v>989</v>
      </c>
      <c r="T25" s="7"/>
      <c r="U25" t="str">
        <f t="shared" si="8"/>
        <v/>
      </c>
      <c r="V25" t="str">
        <f t="shared" si="9"/>
        <v/>
      </c>
      <c r="W25" t="str">
        <f t="shared" si="10"/>
        <v/>
      </c>
      <c r="X25" t="str">
        <f t="shared" si="11"/>
        <v/>
      </c>
      <c r="Y25" t="e">
        <f>VLOOKUP($A25,Runs!$G:$G,1,FALSE)</f>
        <v>#N/A</v>
      </c>
    </row>
    <row r="26" spans="1:25" ht="22.5" customHeight="1" x14ac:dyDescent="0.25">
      <c r="A26" s="2" t="s">
        <v>496</v>
      </c>
      <c r="B26" s="2" t="s">
        <v>705</v>
      </c>
      <c r="C26" s="3">
        <v>4.0000000000000001E-3</v>
      </c>
      <c r="D26" s="6" t="s">
        <v>434</v>
      </c>
      <c r="E26">
        <f>(30-C26*100)*VLOOKUP($D26,Calc!$A$1:$C$6,3,FALSE)</f>
        <v>148</v>
      </c>
      <c r="F26" s="6">
        <f>VLOOKUP(D26,Calc!$A$1:$B$6,2,FALSE)</f>
        <v>4</v>
      </c>
      <c r="G26" s="10">
        <f t="shared" si="0"/>
        <v>4.4000000000000003E-3</v>
      </c>
      <c r="H26" s="9">
        <f t="shared" si="1"/>
        <v>4.6E-5</v>
      </c>
      <c r="I26" s="10">
        <f t="shared" si="2"/>
        <v>4.4045999999999998E-3</v>
      </c>
      <c r="J26" s="10" t="str">
        <f t="shared" si="3"/>
        <v/>
      </c>
      <c r="K26" s="10">
        <f t="shared" si="4"/>
        <v>4.4045999999999998E-3</v>
      </c>
      <c r="L26" s="9">
        <f t="shared" si="5"/>
        <v>3.9955954</v>
      </c>
      <c r="M26" s="9" t="str">
        <f t="shared" si="6"/>
        <v/>
      </c>
      <c r="N26" s="9">
        <f t="shared" si="7"/>
        <v>3.9955954</v>
      </c>
      <c r="O26" s="4"/>
      <c r="Q26" s="7"/>
      <c r="R26" s="7" t="s">
        <v>1382</v>
      </c>
      <c r="S26" s="8" t="s">
        <v>1383</v>
      </c>
      <c r="T26" s="7"/>
      <c r="U26" t="str">
        <f t="shared" si="8"/>
        <v/>
      </c>
      <c r="V26" t="str">
        <f t="shared" si="9"/>
        <v/>
      </c>
      <c r="W26">
        <f t="shared" si="10"/>
        <v>4.4045999999999998E-3</v>
      </c>
      <c r="X26" t="str">
        <f t="shared" si="11"/>
        <v/>
      </c>
      <c r="Y26" t="str">
        <f>VLOOKUP($A26,Runs!$G:$G,1,FALSE)</f>
        <v>One nation to rule them all</v>
      </c>
    </row>
    <row r="27" spans="1:25" ht="22.5" customHeight="1" x14ac:dyDescent="0.25">
      <c r="A27" s="2" t="s">
        <v>553</v>
      </c>
      <c r="B27" s="2" t="s">
        <v>554</v>
      </c>
      <c r="C27" s="3">
        <v>4.0000000000000001E-3</v>
      </c>
      <c r="D27" s="6" t="s">
        <v>434</v>
      </c>
      <c r="E27">
        <f>(30-C27*100)*VLOOKUP($D27,Calc!$A$1:$C$6,3,FALSE)</f>
        <v>148</v>
      </c>
      <c r="F27" s="6">
        <f>VLOOKUP(D27,Calc!$A$1:$B$6,2,FALSE)</f>
        <v>4</v>
      </c>
      <c r="G27" s="10">
        <f t="shared" si="0"/>
        <v>4.4000000000000003E-3</v>
      </c>
      <c r="H27" s="9">
        <f t="shared" si="1"/>
        <v>3.1999999999999999E-5</v>
      </c>
      <c r="I27" s="10">
        <f t="shared" si="2"/>
        <v>4.4032000000000003E-3</v>
      </c>
      <c r="J27" s="10" t="str">
        <f t="shared" si="3"/>
        <v/>
      </c>
      <c r="K27" s="10">
        <f t="shared" si="4"/>
        <v>4.4032000000000003E-3</v>
      </c>
      <c r="L27" s="9">
        <f t="shared" si="5"/>
        <v>3.9955967999999999</v>
      </c>
      <c r="M27" s="9" t="str">
        <f t="shared" si="6"/>
        <v/>
      </c>
      <c r="N27" s="9">
        <f t="shared" si="7"/>
        <v>3.9955967999999999</v>
      </c>
      <c r="O27" s="4"/>
      <c r="Q27" s="7" t="s">
        <v>1523</v>
      </c>
      <c r="R27" s="7" t="s">
        <v>1524</v>
      </c>
      <c r="S27" s="8" t="s">
        <v>1525</v>
      </c>
      <c r="T27" s="7"/>
      <c r="U27" t="str">
        <f t="shared" si="8"/>
        <v/>
      </c>
      <c r="V27" t="str">
        <f t="shared" si="9"/>
        <v/>
      </c>
      <c r="W27">
        <f t="shared" si="10"/>
        <v>4.4032000000000003E-3</v>
      </c>
      <c r="X27" t="str">
        <f t="shared" si="11"/>
        <v/>
      </c>
      <c r="Y27" t="str">
        <f>VLOOKUP($A27,Runs!$G:$G,1,FALSE)</f>
        <v>New, New Deli</v>
      </c>
    </row>
    <row r="28" spans="1:25" ht="22.5" customHeight="1" x14ac:dyDescent="0.25">
      <c r="A28" s="2" t="s">
        <v>483</v>
      </c>
      <c r="B28" s="2" t="s">
        <v>687</v>
      </c>
      <c r="C28" s="3">
        <v>4.0000000000000001E-3</v>
      </c>
      <c r="D28" s="6" t="s">
        <v>434</v>
      </c>
      <c r="E28">
        <f>(30-C28*100)*VLOOKUP($D28,Calc!$A$1:$C$6,3,FALSE)</f>
        <v>148</v>
      </c>
      <c r="F28" s="6">
        <f>VLOOKUP(D28,Calc!$A$1:$B$6,2,FALSE)</f>
        <v>4</v>
      </c>
      <c r="G28" s="10">
        <f t="shared" si="0"/>
        <v>4.4000000000000003E-3</v>
      </c>
      <c r="H28" s="9">
        <f t="shared" si="1"/>
        <v>5.5999999999999999E-5</v>
      </c>
      <c r="I28" s="10">
        <f t="shared" si="2"/>
        <v>4.4056E-3</v>
      </c>
      <c r="J28" s="10">
        <f t="shared" si="3"/>
        <v>4.4056E-3</v>
      </c>
      <c r="K28" s="10" t="str">
        <f t="shared" si="4"/>
        <v/>
      </c>
      <c r="L28" s="9">
        <f t="shared" si="5"/>
        <v>3.9955943999999999</v>
      </c>
      <c r="M28" s="9">
        <f t="shared" si="6"/>
        <v>3.9955943999999999</v>
      </c>
      <c r="N28" s="9" t="str">
        <f t="shared" si="7"/>
        <v/>
      </c>
      <c r="O28" s="4" t="s">
        <v>755</v>
      </c>
      <c r="P28" s="1" t="s">
        <v>1711</v>
      </c>
      <c r="Q28" s="7" t="s">
        <v>1359</v>
      </c>
      <c r="R28" s="7" t="s">
        <v>1360</v>
      </c>
      <c r="S28" s="8" t="s">
        <v>1361</v>
      </c>
      <c r="T28" s="7"/>
      <c r="U28" t="str">
        <f t="shared" si="8"/>
        <v/>
      </c>
      <c r="V28" t="str">
        <f t="shared" si="9"/>
        <v/>
      </c>
      <c r="W28" t="str">
        <f t="shared" si="10"/>
        <v/>
      </c>
      <c r="X28" t="str">
        <f t="shared" si="11"/>
        <v/>
      </c>
      <c r="Y28" t="e">
        <f>VLOOKUP($A28,Runs!$G:$G,1,FALSE)</f>
        <v>#N/A</v>
      </c>
    </row>
    <row r="29" spans="1:25" ht="22.5" customHeight="1" x14ac:dyDescent="0.25">
      <c r="A29" s="2" t="s">
        <v>440</v>
      </c>
      <c r="B29" s="2" t="s">
        <v>669</v>
      </c>
      <c r="C29" s="3">
        <v>4.0000000000000001E-3</v>
      </c>
      <c r="D29" s="6" t="s">
        <v>434</v>
      </c>
      <c r="E29">
        <f>(30-C29*100)*VLOOKUP($D29,Calc!$A$1:$C$6,3,FALSE)</f>
        <v>148</v>
      </c>
      <c r="F29" s="6">
        <f>VLOOKUP(D29,Calc!$A$1:$B$6,2,FALSE)</f>
        <v>4</v>
      </c>
      <c r="G29" s="10">
        <f t="shared" si="0"/>
        <v>4.4000000000000003E-3</v>
      </c>
      <c r="H29" s="9">
        <f t="shared" si="1"/>
        <v>3.4E-5</v>
      </c>
      <c r="I29" s="10">
        <f t="shared" si="2"/>
        <v>4.4034E-3</v>
      </c>
      <c r="J29" s="10">
        <f t="shared" si="3"/>
        <v>4.4034E-3</v>
      </c>
      <c r="K29" s="10" t="str">
        <f t="shared" si="4"/>
        <v/>
      </c>
      <c r="L29" s="9">
        <f t="shared" si="5"/>
        <v>3.9955965999999998</v>
      </c>
      <c r="M29" s="9">
        <f t="shared" si="6"/>
        <v>3.9955965999999998</v>
      </c>
      <c r="N29" s="9" t="str">
        <f t="shared" si="7"/>
        <v/>
      </c>
      <c r="O29" s="4" t="s">
        <v>755</v>
      </c>
      <c r="P29" s="1" t="s">
        <v>1686</v>
      </c>
      <c r="Q29" s="7" t="s">
        <v>1097</v>
      </c>
      <c r="R29" s="7" t="s">
        <v>1098</v>
      </c>
      <c r="S29" s="8" t="s">
        <v>1099</v>
      </c>
      <c r="T29" s="7"/>
      <c r="U29" t="str">
        <f t="shared" si="8"/>
        <v/>
      </c>
      <c r="V29" t="str">
        <f t="shared" si="9"/>
        <v/>
      </c>
      <c r="W29" t="str">
        <f t="shared" si="10"/>
        <v/>
      </c>
      <c r="X29" t="str">
        <f t="shared" si="11"/>
        <v/>
      </c>
      <c r="Y29" t="e">
        <f>VLOOKUP($A29,Runs!$G:$G,1,FALSE)</f>
        <v>#N/A</v>
      </c>
    </row>
    <row r="30" spans="1:25" ht="22.5" customHeight="1" x14ac:dyDescent="0.25">
      <c r="A30" s="2" t="s">
        <v>451</v>
      </c>
      <c r="B30" s="2" t="s">
        <v>642</v>
      </c>
      <c r="C30" s="3">
        <v>4.0000000000000001E-3</v>
      </c>
      <c r="D30" s="6" t="s">
        <v>434</v>
      </c>
      <c r="E30">
        <f>(30-C30*100)*VLOOKUP($D30,Calc!$A$1:$C$6,3,FALSE)</f>
        <v>148</v>
      </c>
      <c r="F30" s="6">
        <f>VLOOKUP(D30,Calc!$A$1:$B$6,2,FALSE)</f>
        <v>4</v>
      </c>
      <c r="G30" s="10">
        <f t="shared" si="0"/>
        <v>4.4000000000000003E-3</v>
      </c>
      <c r="H30" s="9">
        <f t="shared" si="1"/>
        <v>6.3999999999999997E-5</v>
      </c>
      <c r="I30" s="10">
        <f t="shared" si="2"/>
        <v>4.4064000000000004E-3</v>
      </c>
      <c r="J30" s="10" t="str">
        <f t="shared" si="3"/>
        <v/>
      </c>
      <c r="K30" s="10">
        <f t="shared" si="4"/>
        <v>4.4064000000000004E-3</v>
      </c>
      <c r="L30" s="9">
        <f t="shared" si="5"/>
        <v>3.9955935999999999</v>
      </c>
      <c r="M30" s="9" t="str">
        <f t="shared" si="6"/>
        <v/>
      </c>
      <c r="N30" s="9">
        <f t="shared" si="7"/>
        <v>3.9955935999999999</v>
      </c>
      <c r="O30" s="4"/>
      <c r="Q30" s="7" t="s">
        <v>1291</v>
      </c>
      <c r="R30" s="8" t="s">
        <v>1292</v>
      </c>
      <c r="S30" s="7"/>
      <c r="T30" s="7"/>
      <c r="U30" t="str">
        <f t="shared" si="8"/>
        <v/>
      </c>
      <c r="V30" t="str">
        <f t="shared" si="9"/>
        <v/>
      </c>
      <c r="W30">
        <f t="shared" si="10"/>
        <v>4.4064000000000004E-3</v>
      </c>
      <c r="X30" t="str">
        <f t="shared" si="11"/>
        <v/>
      </c>
      <c r="Y30" t="str">
        <f>VLOOKUP($A30,Runs!$G:$G,1,FALSE)</f>
        <v>Almost Prussian Blue</v>
      </c>
    </row>
    <row r="31" spans="1:25" ht="22.5" customHeight="1" x14ac:dyDescent="0.25">
      <c r="A31" s="2" t="s">
        <v>383</v>
      </c>
      <c r="B31" s="2" t="s">
        <v>751</v>
      </c>
      <c r="C31" s="3">
        <v>4.0000000000000001E-3</v>
      </c>
      <c r="D31" s="6" t="s">
        <v>242</v>
      </c>
      <c r="E31">
        <f>(30-C31*100)*VLOOKUP($D31,Calc!$A$1:$C$6,3,FALSE)</f>
        <v>74</v>
      </c>
      <c r="F31" s="6">
        <f>VLOOKUP(D31,Calc!$A$1:$B$6,2,FALSE)</f>
        <v>3</v>
      </c>
      <c r="G31" s="10">
        <f t="shared" si="0"/>
        <v>4.3E-3</v>
      </c>
      <c r="H31" s="9">
        <f t="shared" si="1"/>
        <v>4.6E-5</v>
      </c>
      <c r="I31" s="10">
        <f t="shared" si="2"/>
        <v>4.3045999999999996E-3</v>
      </c>
      <c r="J31" s="10">
        <f t="shared" si="3"/>
        <v>4.3045999999999996E-3</v>
      </c>
      <c r="K31" s="10" t="str">
        <f t="shared" si="4"/>
        <v/>
      </c>
      <c r="L31" s="9">
        <f t="shared" si="5"/>
        <v>2.9956953999999998</v>
      </c>
      <c r="M31" s="9">
        <f t="shared" si="6"/>
        <v>2.9956953999999998</v>
      </c>
      <c r="N31" s="9" t="str">
        <f t="shared" si="7"/>
        <v/>
      </c>
      <c r="O31" s="4" t="s">
        <v>755</v>
      </c>
      <c r="P31" s="1" t="s">
        <v>2055</v>
      </c>
      <c r="Q31" s="7" t="s">
        <v>1267</v>
      </c>
      <c r="R31" s="7" t="s">
        <v>1268</v>
      </c>
      <c r="S31" s="8" t="s">
        <v>1269</v>
      </c>
      <c r="T31" s="7"/>
      <c r="U31" t="str">
        <f t="shared" si="8"/>
        <v/>
      </c>
      <c r="V31" t="str">
        <f t="shared" si="9"/>
        <v/>
      </c>
      <c r="W31" t="str">
        <f t="shared" si="10"/>
        <v/>
      </c>
      <c r="X31" t="str">
        <f t="shared" si="11"/>
        <v/>
      </c>
      <c r="Y31" t="str">
        <f>VLOOKUP($A31,Runs!$G:$G,1,FALSE)</f>
        <v>Where are the penguins?</v>
      </c>
    </row>
    <row r="32" spans="1:25" ht="22.5" customHeight="1" x14ac:dyDescent="0.25">
      <c r="A32" s="2" t="s">
        <v>430</v>
      </c>
      <c r="B32" s="2" t="s">
        <v>737</v>
      </c>
      <c r="C32" s="3">
        <v>4.0000000000000001E-3</v>
      </c>
      <c r="D32" s="6" t="s">
        <v>242</v>
      </c>
      <c r="E32">
        <f>(30-C32*100)*VLOOKUP($D32,Calc!$A$1:$C$6,3,FALSE)</f>
        <v>74</v>
      </c>
      <c r="F32" s="6">
        <f>VLOOKUP(D32,Calc!$A$1:$B$6,2,FALSE)</f>
        <v>3</v>
      </c>
      <c r="G32" s="10">
        <f t="shared" si="0"/>
        <v>4.3E-3</v>
      </c>
      <c r="H32" s="9">
        <f t="shared" si="1"/>
        <v>4.3000000000000002E-5</v>
      </c>
      <c r="I32" s="10">
        <f t="shared" si="2"/>
        <v>4.3042999999999996E-3</v>
      </c>
      <c r="J32" s="10">
        <f t="shared" si="3"/>
        <v>4.3042999999999996E-3</v>
      </c>
      <c r="K32" s="10" t="str">
        <f t="shared" si="4"/>
        <v/>
      </c>
      <c r="L32" s="9">
        <f t="shared" si="5"/>
        <v>2.9956957000000002</v>
      </c>
      <c r="M32" s="9">
        <f t="shared" si="6"/>
        <v>2.9956957000000002</v>
      </c>
      <c r="N32" s="9" t="str">
        <f t="shared" si="7"/>
        <v/>
      </c>
      <c r="O32" s="4" t="s">
        <v>755</v>
      </c>
      <c r="P32" s="1" t="s">
        <v>1663</v>
      </c>
      <c r="Q32" s="7" t="s">
        <v>1625</v>
      </c>
      <c r="R32" s="8" t="s">
        <v>1626</v>
      </c>
      <c r="S32" s="7"/>
      <c r="T32" s="7"/>
      <c r="U32" t="str">
        <f t="shared" si="8"/>
        <v/>
      </c>
      <c r="V32" t="str">
        <f t="shared" si="9"/>
        <v/>
      </c>
      <c r="W32" t="str">
        <f t="shared" si="10"/>
        <v/>
      </c>
      <c r="X32" t="str">
        <f t="shared" si="11"/>
        <v/>
      </c>
      <c r="Y32" t="e">
        <f>VLOOKUP($A32,Runs!$G:$G,1,FALSE)</f>
        <v>#N/A</v>
      </c>
    </row>
    <row r="33" spans="1:25" ht="22.5" customHeight="1" x14ac:dyDescent="0.25">
      <c r="A33" s="2" t="s">
        <v>413</v>
      </c>
      <c r="B33" s="2" t="s">
        <v>717</v>
      </c>
      <c r="C33" s="3">
        <v>4.0000000000000001E-3</v>
      </c>
      <c r="D33" s="6" t="s">
        <v>242</v>
      </c>
      <c r="E33">
        <f>(30-C33*100)*VLOOKUP($D33,Calc!$A$1:$C$6,3,FALSE)</f>
        <v>74</v>
      </c>
      <c r="F33" s="6">
        <f>VLOOKUP(D33,Calc!$A$1:$B$6,2,FALSE)</f>
        <v>3</v>
      </c>
      <c r="G33" s="10">
        <f t="shared" si="0"/>
        <v>4.3E-3</v>
      </c>
      <c r="H33" s="9">
        <f t="shared" si="1"/>
        <v>1.22E-4</v>
      </c>
      <c r="I33" s="10">
        <f t="shared" si="2"/>
        <v>4.3122000000000004E-3</v>
      </c>
      <c r="J33" s="10" t="str">
        <f t="shared" si="3"/>
        <v/>
      </c>
      <c r="K33" s="10">
        <f t="shared" si="4"/>
        <v>4.3122000000000004E-3</v>
      </c>
      <c r="L33" s="9">
        <f t="shared" si="5"/>
        <v>2.9956877999999998</v>
      </c>
      <c r="M33" s="9" t="str">
        <f t="shared" si="6"/>
        <v/>
      </c>
      <c r="N33" s="9">
        <f t="shared" si="7"/>
        <v>2.9956877999999998</v>
      </c>
      <c r="O33" s="4"/>
      <c r="Q33" s="7"/>
      <c r="R33" s="7" t="s">
        <v>1419</v>
      </c>
      <c r="S33" s="8" t="s">
        <v>1420</v>
      </c>
      <c r="T33" s="7"/>
      <c r="U33" t="str">
        <f t="shared" si="8"/>
        <v/>
      </c>
      <c r="V33">
        <f t="shared" si="9"/>
        <v>4.3122000000000004E-3</v>
      </c>
      <c r="W33" t="str">
        <f t="shared" si="10"/>
        <v/>
      </c>
      <c r="X33" t="str">
        <f t="shared" si="11"/>
        <v/>
      </c>
      <c r="Y33" t="str">
        <f>VLOOKUP($A33,Runs!$G:$G,1,FALSE)</f>
        <v>Stardust Crusaders</v>
      </c>
    </row>
    <row r="34" spans="1:25" ht="22.5" customHeight="1" x14ac:dyDescent="0.25">
      <c r="A34" s="2" t="s">
        <v>288</v>
      </c>
      <c r="B34" s="2" t="s">
        <v>673</v>
      </c>
      <c r="C34" s="3">
        <v>4.0000000000000001E-3</v>
      </c>
      <c r="D34" s="6" t="s">
        <v>242</v>
      </c>
      <c r="E34">
        <f>(30-C34*100)*VLOOKUP($D34,Calc!$A$1:$C$6,3,FALSE)</f>
        <v>74</v>
      </c>
      <c r="F34" s="6">
        <f>VLOOKUP(D34,Calc!$A$1:$B$6,2,FALSE)</f>
        <v>3</v>
      </c>
      <c r="G34" s="10">
        <f t="shared" si="0"/>
        <v>4.3E-3</v>
      </c>
      <c r="H34" s="9">
        <f t="shared" si="1"/>
        <v>4.8000000000000001E-5</v>
      </c>
      <c r="I34" s="10">
        <f t="shared" si="2"/>
        <v>4.3048000000000001E-3</v>
      </c>
      <c r="J34" s="10">
        <f t="shared" si="3"/>
        <v>4.3048000000000001E-3</v>
      </c>
      <c r="K34" s="10" t="str">
        <f t="shared" si="4"/>
        <v/>
      </c>
      <c r="L34" s="9">
        <f t="shared" si="5"/>
        <v>2.9956952000000001</v>
      </c>
      <c r="M34" s="9">
        <f t="shared" si="6"/>
        <v>2.9956952000000001</v>
      </c>
      <c r="N34" s="9" t="str">
        <f t="shared" si="7"/>
        <v/>
      </c>
      <c r="O34" s="4" t="s">
        <v>755</v>
      </c>
      <c r="P34" s="1" t="s">
        <v>1882</v>
      </c>
      <c r="Q34" s="7" t="s">
        <v>1110</v>
      </c>
      <c r="R34" s="7" t="s">
        <v>1111</v>
      </c>
      <c r="S34" s="8" t="s">
        <v>1112</v>
      </c>
      <c r="T34" s="7"/>
      <c r="U34" t="str">
        <f t="shared" si="8"/>
        <v/>
      </c>
      <c r="V34" t="str">
        <f t="shared" si="9"/>
        <v/>
      </c>
      <c r="W34" t="str">
        <f t="shared" si="10"/>
        <v/>
      </c>
      <c r="X34" t="str">
        <f t="shared" si="11"/>
        <v/>
      </c>
      <c r="Y34" t="str">
        <f>VLOOKUP($A34,Runs!$G:$G,1,FALSE)</f>
        <v>Golden Wind</v>
      </c>
    </row>
    <row r="35" spans="1:25" ht="22.5" customHeight="1" x14ac:dyDescent="0.25">
      <c r="A35" s="2" t="s">
        <v>387</v>
      </c>
      <c r="B35" s="2" t="s">
        <v>388</v>
      </c>
      <c r="C35" s="3">
        <v>4.0000000000000001E-3</v>
      </c>
      <c r="D35" s="6" t="s">
        <v>242</v>
      </c>
      <c r="E35">
        <f>(30-C35*100)*VLOOKUP($D35,Calc!$A$1:$C$6,3,FALSE)</f>
        <v>74</v>
      </c>
      <c r="F35" s="6">
        <f>VLOOKUP(D35,Calc!$A$1:$B$6,2,FALSE)</f>
        <v>3</v>
      </c>
      <c r="G35" s="10">
        <f t="shared" si="0"/>
        <v>4.3E-3</v>
      </c>
      <c r="H35" s="9">
        <f t="shared" si="1"/>
        <v>6.7999999999999999E-5</v>
      </c>
      <c r="I35" s="10">
        <f t="shared" si="2"/>
        <v>4.3068000000000004E-3</v>
      </c>
      <c r="J35" s="10">
        <f t="shared" si="3"/>
        <v>4.3068000000000004E-3</v>
      </c>
      <c r="K35" s="10" t="str">
        <f t="shared" si="4"/>
        <v/>
      </c>
      <c r="L35" s="9">
        <f t="shared" si="5"/>
        <v>2.9956931999999998</v>
      </c>
      <c r="M35" s="9">
        <f t="shared" si="6"/>
        <v>2.9956931999999998</v>
      </c>
      <c r="N35" s="9" t="str">
        <f t="shared" si="7"/>
        <v/>
      </c>
      <c r="O35" s="4" t="s">
        <v>755</v>
      </c>
      <c r="P35" s="1" t="s">
        <v>1731</v>
      </c>
      <c r="Q35" s="7" t="s">
        <v>1274</v>
      </c>
      <c r="R35" s="7" t="s">
        <v>1275</v>
      </c>
      <c r="S35" s="8" t="s">
        <v>1276</v>
      </c>
      <c r="T35" s="7"/>
      <c r="U35" t="str">
        <f t="shared" si="8"/>
        <v/>
      </c>
      <c r="V35" t="str">
        <f t="shared" si="9"/>
        <v/>
      </c>
      <c r="W35" t="str">
        <f t="shared" si="10"/>
        <v/>
      </c>
      <c r="X35" t="str">
        <f t="shared" si="11"/>
        <v/>
      </c>
      <c r="Y35" t="str">
        <f>VLOOKUP($A35,Runs!$G:$G,1,FALSE)</f>
        <v>Copium Wars</v>
      </c>
    </row>
    <row r="36" spans="1:25" ht="22.5" customHeight="1" x14ac:dyDescent="0.25">
      <c r="A36" s="2" t="s">
        <v>592</v>
      </c>
      <c r="B36" s="2" t="s">
        <v>683</v>
      </c>
      <c r="C36" s="3">
        <v>4.0000000000000001E-3</v>
      </c>
      <c r="D36" s="6" t="s">
        <v>573</v>
      </c>
      <c r="E36">
        <f>(30-C36*100)*VLOOKUP($D36,Calc!$A$1:$C$6,3,FALSE)</f>
        <v>296</v>
      </c>
      <c r="F36" s="6">
        <f>VLOOKUP(D36,Calc!$A$1:$B$6,2,FALSE)</f>
        <v>5</v>
      </c>
      <c r="G36" s="10">
        <f t="shared" si="0"/>
        <v>4.5000000000000005E-3</v>
      </c>
      <c r="H36" s="9">
        <f t="shared" si="1"/>
        <v>6.8999999999999997E-5</v>
      </c>
      <c r="I36" s="10">
        <f t="shared" si="2"/>
        <v>4.5069000000000003E-3</v>
      </c>
      <c r="J36" s="10">
        <f t="shared" si="3"/>
        <v>4.5069000000000003E-3</v>
      </c>
      <c r="K36" s="10" t="str">
        <f t="shared" si="4"/>
        <v/>
      </c>
      <c r="L36" s="9">
        <f t="shared" si="5"/>
        <v>4.9954931</v>
      </c>
      <c r="M36" s="9">
        <f t="shared" si="6"/>
        <v>4.9954931</v>
      </c>
      <c r="N36" s="9" t="str">
        <f t="shared" si="7"/>
        <v/>
      </c>
      <c r="O36" s="4" t="s">
        <v>755</v>
      </c>
      <c r="P36" s="1" t="s">
        <v>1883</v>
      </c>
      <c r="Q36" s="7" t="s">
        <v>1508</v>
      </c>
      <c r="R36" s="7" t="s">
        <v>1509</v>
      </c>
      <c r="S36" s="8" t="s">
        <v>1510</v>
      </c>
      <c r="T36" s="7"/>
      <c r="U36" t="str">
        <f t="shared" si="8"/>
        <v/>
      </c>
      <c r="V36" t="str">
        <f t="shared" si="9"/>
        <v/>
      </c>
      <c r="W36" t="str">
        <f t="shared" si="10"/>
        <v/>
      </c>
      <c r="X36" t="str">
        <f t="shared" si="11"/>
        <v/>
      </c>
      <c r="Y36" t="str">
        <f>VLOOKUP($A36,Runs!$G:$G,1,FALSE)</f>
        <v>Inner Turmoil</v>
      </c>
    </row>
    <row r="37" spans="1:25" ht="22.5" customHeight="1" x14ac:dyDescent="0.25">
      <c r="A37" s="2" t="s">
        <v>574</v>
      </c>
      <c r="B37" s="2" t="s">
        <v>680</v>
      </c>
      <c r="C37" s="3">
        <v>4.0000000000000001E-3</v>
      </c>
      <c r="D37" s="6" t="s">
        <v>573</v>
      </c>
      <c r="E37">
        <f>(30-C37*100)*VLOOKUP($D37,Calc!$A$1:$C$6,3,FALSE)</f>
        <v>296</v>
      </c>
      <c r="F37" s="6">
        <f>VLOOKUP(D37,Calc!$A$1:$B$6,2,FALSE)</f>
        <v>5</v>
      </c>
      <c r="G37" s="10">
        <f t="shared" si="0"/>
        <v>4.5000000000000005E-3</v>
      </c>
      <c r="H37" s="9">
        <f t="shared" si="1"/>
        <v>-2.6999999999999999E-5</v>
      </c>
      <c r="I37" s="10">
        <f t="shared" si="2"/>
        <v>4.4973000000000009E-3</v>
      </c>
      <c r="J37" s="10" t="str">
        <f t="shared" si="3"/>
        <v/>
      </c>
      <c r="K37" s="10">
        <f t="shared" si="4"/>
        <v>4.4973000000000009E-3</v>
      </c>
      <c r="L37" s="9">
        <f t="shared" si="5"/>
        <v>4.9955027000000003</v>
      </c>
      <c r="M37" s="9" t="str">
        <f t="shared" si="6"/>
        <v/>
      </c>
      <c r="N37" s="9">
        <f t="shared" si="7"/>
        <v>4.9955027000000003</v>
      </c>
      <c r="O37" s="4"/>
      <c r="Q37" s="7" t="s">
        <v>932</v>
      </c>
      <c r="R37" s="7" t="s">
        <v>1349</v>
      </c>
      <c r="S37" s="8" t="s">
        <v>1350</v>
      </c>
      <c r="T37" s="7"/>
      <c r="U37" t="str">
        <f t="shared" si="8"/>
        <v/>
      </c>
      <c r="V37" t="str">
        <f t="shared" si="9"/>
        <v/>
      </c>
      <c r="W37" t="str">
        <f t="shared" si="10"/>
        <v/>
      </c>
      <c r="X37" t="str">
        <f t="shared" si="11"/>
        <v/>
      </c>
      <c r="Y37" t="str">
        <f>VLOOKUP($A37,Runs!$G:$G,1,FALSE)</f>
        <v>I don't like sand</v>
      </c>
    </row>
    <row r="38" spans="1:25" ht="22.5" customHeight="1" x14ac:dyDescent="0.25">
      <c r="A38" s="2" t="s">
        <v>200</v>
      </c>
      <c r="B38" s="2" t="s">
        <v>201</v>
      </c>
      <c r="C38" s="3">
        <v>5.0000000000000001E-3</v>
      </c>
      <c r="D38" s="6" t="s">
        <v>105</v>
      </c>
      <c r="E38">
        <f>(30-C38*100)*VLOOKUP($D38,Calc!$A$1:$C$6,3,FALSE)</f>
        <v>29.5</v>
      </c>
      <c r="F38" s="6">
        <f>VLOOKUP(D38,Calc!$A$1:$B$6,2,FALSE)</f>
        <v>2</v>
      </c>
      <c r="G38" s="10">
        <f t="shared" si="0"/>
        <v>5.1999999999999998E-3</v>
      </c>
      <c r="H38" s="9">
        <f t="shared" si="1"/>
        <v>6.0000000000000002E-6</v>
      </c>
      <c r="I38" s="10">
        <f t="shared" si="2"/>
        <v>5.2005999999999997E-3</v>
      </c>
      <c r="J38" s="10" t="str">
        <f t="shared" si="3"/>
        <v/>
      </c>
      <c r="K38" s="10">
        <f t="shared" si="4"/>
        <v>5.2005999999999997E-3</v>
      </c>
      <c r="L38" s="9">
        <f t="shared" si="5"/>
        <v>1.9947994</v>
      </c>
      <c r="M38" s="9" t="str">
        <f t="shared" si="6"/>
        <v/>
      </c>
      <c r="N38" s="9">
        <f t="shared" si="7"/>
        <v>1.9947994</v>
      </c>
      <c r="O38" s="4"/>
      <c r="Q38" s="7" t="s">
        <v>1031</v>
      </c>
      <c r="R38" s="8" t="s">
        <v>1032</v>
      </c>
      <c r="S38" s="7"/>
      <c r="T38" s="7"/>
      <c r="U38">
        <f t="shared" si="8"/>
        <v>5.2005999999999997E-3</v>
      </c>
      <c r="V38" t="str">
        <f t="shared" si="9"/>
        <v/>
      </c>
      <c r="W38" t="str">
        <f t="shared" si="10"/>
        <v/>
      </c>
      <c r="X38" t="str">
        <f t="shared" si="11"/>
        <v/>
      </c>
      <c r="Y38" t="str">
        <f>VLOOKUP($A38,Runs!$G:$G,1,FALSE)</f>
        <v>To the Bone</v>
      </c>
    </row>
    <row r="39" spans="1:25" ht="22.5" customHeight="1" x14ac:dyDescent="0.25">
      <c r="A39" s="2" t="s">
        <v>188</v>
      </c>
      <c r="B39" s="2" t="s">
        <v>189</v>
      </c>
      <c r="C39" s="3">
        <v>5.0000000000000001E-3</v>
      </c>
      <c r="D39" s="6" t="s">
        <v>105</v>
      </c>
      <c r="E39">
        <f>(30-C39*100)*VLOOKUP($D39,Calc!$A$1:$C$6,3,FALSE)</f>
        <v>29.5</v>
      </c>
      <c r="F39" s="6">
        <f>VLOOKUP(D39,Calc!$A$1:$B$6,2,FALSE)</f>
        <v>2</v>
      </c>
      <c r="G39" s="10">
        <f t="shared" si="0"/>
        <v>5.1999999999999998E-3</v>
      </c>
      <c r="H39" s="9">
        <f t="shared" si="1"/>
        <v>6.2000000000000003E-5</v>
      </c>
      <c r="I39" s="10">
        <f t="shared" si="2"/>
        <v>5.2061999999999994E-3</v>
      </c>
      <c r="J39" s="10" t="str">
        <f t="shared" si="3"/>
        <v/>
      </c>
      <c r="K39" s="10">
        <f t="shared" si="4"/>
        <v>5.2061999999999994E-3</v>
      </c>
      <c r="L39" s="9">
        <f t="shared" si="5"/>
        <v>1.9947938000000001</v>
      </c>
      <c r="M39" s="9" t="str">
        <f t="shared" si="6"/>
        <v/>
      </c>
      <c r="N39" s="9">
        <f t="shared" si="7"/>
        <v>1.9947938000000001</v>
      </c>
      <c r="O39" s="4"/>
      <c r="Q39" s="7" t="s">
        <v>1011</v>
      </c>
      <c r="R39" s="7" t="s">
        <v>1012</v>
      </c>
      <c r="S39" s="8" t="s">
        <v>1013</v>
      </c>
      <c r="T39" s="7"/>
      <c r="U39">
        <f t="shared" si="8"/>
        <v>5.2061999999999994E-3</v>
      </c>
      <c r="V39" t="str">
        <f t="shared" si="9"/>
        <v/>
      </c>
      <c r="W39" t="str">
        <f t="shared" si="10"/>
        <v/>
      </c>
      <c r="X39" t="str">
        <f t="shared" si="11"/>
        <v/>
      </c>
      <c r="Y39" t="str">
        <f>VLOOKUP($A39,Runs!$G:$G,1,FALSE)</f>
        <v>Surfing USA</v>
      </c>
    </row>
    <row r="40" spans="1:25" ht="22.5" customHeight="1" x14ac:dyDescent="0.25">
      <c r="A40" s="2" t="s">
        <v>557</v>
      </c>
      <c r="B40" s="2" t="s">
        <v>730</v>
      </c>
      <c r="C40" s="3">
        <v>5.0000000000000001E-3</v>
      </c>
      <c r="D40" s="6" t="s">
        <v>434</v>
      </c>
      <c r="E40">
        <f>(30-C40*100)*VLOOKUP($D40,Calc!$A$1:$C$6,3,FALSE)</f>
        <v>147.5</v>
      </c>
      <c r="F40" s="6">
        <f>VLOOKUP(D40,Calc!$A$1:$B$6,2,FALSE)</f>
        <v>4</v>
      </c>
      <c r="G40" s="10">
        <f t="shared" si="0"/>
        <v>5.4000000000000003E-3</v>
      </c>
      <c r="H40" s="9">
        <f t="shared" si="1"/>
        <v>3.1000000000000001E-5</v>
      </c>
      <c r="I40" s="10">
        <f t="shared" si="2"/>
        <v>5.4031000000000001E-3</v>
      </c>
      <c r="J40" s="10" t="str">
        <f t="shared" si="3"/>
        <v/>
      </c>
      <c r="K40" s="10">
        <f t="shared" si="4"/>
        <v>5.4031000000000001E-3</v>
      </c>
      <c r="L40" s="9">
        <f t="shared" si="5"/>
        <v>3.9945968999999999</v>
      </c>
      <c r="M40" s="9" t="str">
        <f t="shared" si="6"/>
        <v/>
      </c>
      <c r="N40" s="9">
        <f t="shared" si="7"/>
        <v>3.9945968999999999</v>
      </c>
      <c r="O40" s="4"/>
      <c r="Q40" s="7" t="s">
        <v>1557</v>
      </c>
      <c r="R40" s="7" t="s">
        <v>1558</v>
      </c>
      <c r="S40" s="8" t="s">
        <v>1559</v>
      </c>
      <c r="T40" s="7"/>
      <c r="U40" t="str">
        <f t="shared" si="8"/>
        <v/>
      </c>
      <c r="V40" t="str">
        <f t="shared" si="9"/>
        <v/>
      </c>
      <c r="W40">
        <f t="shared" si="10"/>
        <v>5.4031000000000001E-3</v>
      </c>
      <c r="X40" t="str">
        <f t="shared" si="11"/>
        <v/>
      </c>
      <c r="Y40" t="str">
        <f>VLOOKUP($A40,Runs!$G:$G,1,FALSE)</f>
        <v>The Pheasant Strut</v>
      </c>
    </row>
    <row r="41" spans="1:25" ht="22.5" customHeight="1" x14ac:dyDescent="0.25">
      <c r="A41" s="2" t="s">
        <v>624</v>
      </c>
      <c r="B41" s="2" t="s">
        <v>625</v>
      </c>
      <c r="C41" s="3">
        <v>5.0000000000000001E-3</v>
      </c>
      <c r="D41" s="6" t="s">
        <v>626</v>
      </c>
      <c r="E41">
        <f>(30-C41*100)*VLOOKUP($D41,Calc!$A$1:$C$6,3,FALSE)</f>
        <v>885</v>
      </c>
      <c r="F41" s="6">
        <f>VLOOKUP(D41,Calc!$A$1:$B$6,2,FALSE)</f>
        <v>6</v>
      </c>
      <c r="G41" s="10">
        <f t="shared" si="0"/>
        <v>5.5999999999999999E-3</v>
      </c>
      <c r="H41" s="9">
        <f t="shared" si="1"/>
        <v>7.2999999999999999E-5</v>
      </c>
      <c r="I41" s="10">
        <f t="shared" si="2"/>
        <v>5.6073E-3</v>
      </c>
      <c r="J41" s="10" t="str">
        <f t="shared" si="3"/>
        <v/>
      </c>
      <c r="K41" s="10">
        <f t="shared" si="4"/>
        <v>5.6073E-3</v>
      </c>
      <c r="L41" s="9">
        <f t="shared" si="5"/>
        <v>5.9943926999999997</v>
      </c>
      <c r="M41" s="9" t="str">
        <f t="shared" si="6"/>
        <v/>
      </c>
      <c r="N41" s="9">
        <f t="shared" si="7"/>
        <v>5.9943926999999997</v>
      </c>
      <c r="O41" s="4"/>
      <c r="Q41" s="7" t="s">
        <v>1580</v>
      </c>
      <c r="R41" s="7" t="s">
        <v>1581</v>
      </c>
      <c r="S41" s="8" t="s">
        <v>1582</v>
      </c>
      <c r="T41" s="7"/>
      <c r="U41" t="str">
        <f t="shared" si="8"/>
        <v/>
      </c>
      <c r="V41" t="str">
        <f t="shared" si="9"/>
        <v/>
      </c>
      <c r="W41" t="str">
        <f t="shared" si="10"/>
        <v/>
      </c>
      <c r="X41" t="str">
        <f t="shared" si="11"/>
        <v/>
      </c>
      <c r="Y41" t="str">
        <f>VLOOKUP($A41,Runs!$G:$G,1,FALSE)</f>
        <v>Eat your Greens</v>
      </c>
    </row>
    <row r="42" spans="1:25" ht="22.5" customHeight="1" x14ac:dyDescent="0.25">
      <c r="A42" s="2" t="s">
        <v>390</v>
      </c>
      <c r="B42" s="2" t="s">
        <v>732</v>
      </c>
      <c r="C42" s="3">
        <v>5.0000000000000001E-3</v>
      </c>
      <c r="D42" s="6" t="s">
        <v>242</v>
      </c>
      <c r="E42">
        <f>(30-C42*100)*VLOOKUP($D42,Calc!$A$1:$C$6,3,FALSE)</f>
        <v>73.75</v>
      </c>
      <c r="F42" s="6">
        <f>VLOOKUP(D42,Calc!$A$1:$B$6,2,FALSE)</f>
        <v>3</v>
      </c>
      <c r="G42" s="10">
        <f t="shared" si="0"/>
        <v>5.3E-3</v>
      </c>
      <c r="H42" s="9">
        <f t="shared" si="1"/>
        <v>4.1E-5</v>
      </c>
      <c r="I42" s="10">
        <f t="shared" si="2"/>
        <v>5.3041E-3</v>
      </c>
      <c r="J42" s="10">
        <f t="shared" si="3"/>
        <v>5.3041E-3</v>
      </c>
      <c r="K42" s="10" t="str">
        <f t="shared" si="4"/>
        <v/>
      </c>
      <c r="L42" s="9">
        <f t="shared" si="5"/>
        <v>2.9946959</v>
      </c>
      <c r="M42" s="9">
        <f t="shared" si="6"/>
        <v>2.9946959</v>
      </c>
      <c r="N42" s="9" t="str">
        <f t="shared" si="7"/>
        <v/>
      </c>
      <c r="O42" s="4" t="s">
        <v>755</v>
      </c>
      <c r="P42" s="1" t="s">
        <v>1685</v>
      </c>
      <c r="Q42" s="7" t="s">
        <v>1279</v>
      </c>
      <c r="R42" s="7" t="s">
        <v>1280</v>
      </c>
      <c r="S42" s="8" t="s">
        <v>1281</v>
      </c>
      <c r="T42" s="7"/>
      <c r="U42" t="str">
        <f t="shared" si="8"/>
        <v/>
      </c>
      <c r="V42" t="str">
        <f t="shared" si="9"/>
        <v/>
      </c>
      <c r="W42" t="str">
        <f t="shared" si="10"/>
        <v/>
      </c>
      <c r="X42" t="str">
        <f t="shared" si="11"/>
        <v/>
      </c>
      <c r="Y42" t="e">
        <f>VLOOKUP($A42,Runs!$G:$G,1,FALSE)</f>
        <v>#N/A</v>
      </c>
    </row>
    <row r="43" spans="1:25" ht="22.5" customHeight="1" x14ac:dyDescent="0.25">
      <c r="A43" s="2" t="s">
        <v>338</v>
      </c>
      <c r="B43" s="2" t="s">
        <v>339</v>
      </c>
      <c r="C43" s="3">
        <v>5.0000000000000001E-3</v>
      </c>
      <c r="D43" s="6" t="s">
        <v>242</v>
      </c>
      <c r="E43">
        <f>(30-C43*100)*VLOOKUP($D43,Calc!$A$1:$C$6,3,FALSE)</f>
        <v>73.75</v>
      </c>
      <c r="F43" s="6">
        <f>VLOOKUP(D43,Calc!$A$1:$B$6,2,FALSE)</f>
        <v>3</v>
      </c>
      <c r="G43" s="10">
        <f t="shared" si="0"/>
        <v>5.3E-3</v>
      </c>
      <c r="H43" s="9">
        <f t="shared" si="1"/>
        <v>4.8999999999999998E-5</v>
      </c>
      <c r="I43" s="10">
        <f t="shared" si="2"/>
        <v>5.3049000000000004E-3</v>
      </c>
      <c r="J43" s="10">
        <f t="shared" si="3"/>
        <v>5.3049000000000004E-3</v>
      </c>
      <c r="K43" s="10" t="str">
        <f t="shared" si="4"/>
        <v/>
      </c>
      <c r="L43" s="9">
        <f t="shared" si="5"/>
        <v>2.9946950999999999</v>
      </c>
      <c r="M43" s="9">
        <f t="shared" si="6"/>
        <v>2.9946950999999999</v>
      </c>
      <c r="N43" s="9" t="str">
        <f t="shared" si="7"/>
        <v/>
      </c>
      <c r="O43" s="4" t="s">
        <v>755</v>
      </c>
      <c r="P43" s="1" t="s">
        <v>760</v>
      </c>
      <c r="Q43" s="7" t="s">
        <v>990</v>
      </c>
      <c r="R43" s="7" t="s">
        <v>1197</v>
      </c>
      <c r="S43" s="8" t="s">
        <v>1198</v>
      </c>
      <c r="T43" s="7"/>
      <c r="U43" t="str">
        <f t="shared" si="8"/>
        <v/>
      </c>
      <c r="V43" t="str">
        <f t="shared" si="9"/>
        <v/>
      </c>
      <c r="W43" t="str">
        <f t="shared" si="10"/>
        <v/>
      </c>
      <c r="X43" t="str">
        <f t="shared" si="11"/>
        <v/>
      </c>
      <c r="Y43" t="e">
        <f>VLOOKUP($A43,Runs!$G:$G,1,FALSE)</f>
        <v>#N/A</v>
      </c>
    </row>
    <row r="44" spans="1:25" ht="22.5" customHeight="1" x14ac:dyDescent="0.25">
      <c r="A44" s="2" t="s">
        <v>389</v>
      </c>
      <c r="B44" s="2" t="s">
        <v>701</v>
      </c>
      <c r="C44" s="3">
        <v>5.0000000000000001E-3</v>
      </c>
      <c r="D44" s="6" t="s">
        <v>242</v>
      </c>
      <c r="E44">
        <f>(30-C44*100)*VLOOKUP($D44,Calc!$A$1:$C$6,3,FALSE)</f>
        <v>73.75</v>
      </c>
      <c r="F44" s="6">
        <f>VLOOKUP(D44,Calc!$A$1:$B$6,2,FALSE)</f>
        <v>3</v>
      </c>
      <c r="G44" s="10">
        <f t="shared" si="0"/>
        <v>5.3E-3</v>
      </c>
      <c r="H44" s="9">
        <f t="shared" si="1"/>
        <v>6.9999999999999994E-5</v>
      </c>
      <c r="I44" s="10">
        <f t="shared" si="2"/>
        <v>5.3070000000000001E-3</v>
      </c>
      <c r="J44" s="10">
        <f t="shared" si="3"/>
        <v>5.3070000000000001E-3</v>
      </c>
      <c r="K44" s="10" t="str">
        <f t="shared" si="4"/>
        <v/>
      </c>
      <c r="L44" s="9">
        <f t="shared" si="5"/>
        <v>2.9946929999999998</v>
      </c>
      <c r="M44" s="9">
        <f t="shared" si="6"/>
        <v>2.9946929999999998</v>
      </c>
      <c r="N44" s="9" t="str">
        <f t="shared" si="7"/>
        <v/>
      </c>
      <c r="O44" s="4" t="s">
        <v>755</v>
      </c>
      <c r="P44" s="1" t="s">
        <v>1696</v>
      </c>
      <c r="Q44" s="7"/>
      <c r="R44" s="7" t="s">
        <v>1277</v>
      </c>
      <c r="S44" s="8" t="s">
        <v>1278</v>
      </c>
      <c r="T44" s="7"/>
      <c r="U44" t="str">
        <f t="shared" si="8"/>
        <v/>
      </c>
      <c r="V44" t="str">
        <f t="shared" si="9"/>
        <v/>
      </c>
      <c r="W44" t="str">
        <f t="shared" si="10"/>
        <v/>
      </c>
      <c r="X44" t="str">
        <f t="shared" si="11"/>
        <v/>
      </c>
      <c r="Y44" t="str">
        <f>VLOOKUP($A44,Runs!$G:$G,1,FALSE)</f>
        <v>No Country for Old Tercios</v>
      </c>
    </row>
    <row r="45" spans="1:25" ht="22.5" customHeight="1" x14ac:dyDescent="0.25">
      <c r="A45" s="2" t="s">
        <v>431</v>
      </c>
      <c r="B45" s="2" t="s">
        <v>670</v>
      </c>
      <c r="C45" s="3">
        <v>5.0000000000000001E-3</v>
      </c>
      <c r="D45" s="6" t="s">
        <v>242</v>
      </c>
      <c r="E45">
        <f>(30-C45*100)*VLOOKUP($D45,Calc!$A$1:$C$6,3,FALSE)</f>
        <v>73.75</v>
      </c>
      <c r="F45" s="6">
        <f>VLOOKUP(D45,Calc!$A$1:$B$6,2,FALSE)</f>
        <v>3</v>
      </c>
      <c r="G45" s="10">
        <f t="shared" si="0"/>
        <v>5.3E-3</v>
      </c>
      <c r="H45" s="9">
        <f t="shared" si="1"/>
        <v>2.4000000000000001E-5</v>
      </c>
      <c r="I45" s="10">
        <f t="shared" si="2"/>
        <v>5.3023999999999996E-3</v>
      </c>
      <c r="J45" s="10">
        <f t="shared" si="3"/>
        <v>5.3023999999999996E-3</v>
      </c>
      <c r="K45" s="10" t="str">
        <f t="shared" si="4"/>
        <v/>
      </c>
      <c r="L45" s="9">
        <f t="shared" si="5"/>
        <v>2.9946975999999998</v>
      </c>
      <c r="M45" s="9">
        <f t="shared" si="6"/>
        <v>2.9946975999999998</v>
      </c>
      <c r="N45" s="9" t="str">
        <f t="shared" si="7"/>
        <v/>
      </c>
      <c r="O45" s="4" t="s">
        <v>755</v>
      </c>
      <c r="P45" s="1" t="s">
        <v>757</v>
      </c>
      <c r="Q45" s="7"/>
      <c r="R45" s="7" t="s">
        <v>1628</v>
      </c>
      <c r="S45" s="8" t="s">
        <v>1629</v>
      </c>
      <c r="T45" s="7"/>
      <c r="U45" t="str">
        <f t="shared" si="8"/>
        <v/>
      </c>
      <c r="V45" t="str">
        <f t="shared" si="9"/>
        <v/>
      </c>
      <c r="W45" t="str">
        <f t="shared" si="10"/>
        <v/>
      </c>
      <c r="X45" t="str">
        <f t="shared" si="11"/>
        <v/>
      </c>
      <c r="Y45" t="e">
        <f>VLOOKUP($A45,Runs!$G:$G,1,FALSE)</f>
        <v>#N/A</v>
      </c>
    </row>
    <row r="46" spans="1:25" ht="22.5" customHeight="1" x14ac:dyDescent="0.25">
      <c r="A46" s="2" t="s">
        <v>428</v>
      </c>
      <c r="B46" s="2" t="s">
        <v>429</v>
      </c>
      <c r="C46" s="3">
        <v>5.0000000000000001E-3</v>
      </c>
      <c r="D46" s="6" t="s">
        <v>242</v>
      </c>
      <c r="E46">
        <f>(30-C46*100)*VLOOKUP($D46,Calc!$A$1:$C$6,3,FALSE)</f>
        <v>73.75</v>
      </c>
      <c r="F46" s="6">
        <f>VLOOKUP(D46,Calc!$A$1:$B$6,2,FALSE)</f>
        <v>3</v>
      </c>
      <c r="G46" s="10">
        <f t="shared" si="0"/>
        <v>5.3E-3</v>
      </c>
      <c r="H46" s="9">
        <f t="shared" si="1"/>
        <v>2.5999999999999998E-5</v>
      </c>
      <c r="I46" s="10">
        <f t="shared" si="2"/>
        <v>5.3026000000000002E-3</v>
      </c>
      <c r="J46" s="10" t="str">
        <f t="shared" si="3"/>
        <v/>
      </c>
      <c r="K46" s="10">
        <f t="shared" si="4"/>
        <v>5.3026000000000002E-3</v>
      </c>
      <c r="L46" s="9">
        <f t="shared" si="5"/>
        <v>2.9946974000000002</v>
      </c>
      <c r="M46" s="9" t="str">
        <f t="shared" si="6"/>
        <v/>
      </c>
      <c r="N46" s="9">
        <f t="shared" si="7"/>
        <v>2.9946974000000002</v>
      </c>
      <c r="O46" s="4"/>
      <c r="Q46" s="7" t="s">
        <v>1616</v>
      </c>
      <c r="R46" s="8" t="s">
        <v>1617</v>
      </c>
      <c r="S46" s="7"/>
      <c r="T46" s="7"/>
      <c r="U46" t="str">
        <f t="shared" si="8"/>
        <v/>
      </c>
      <c r="V46">
        <f t="shared" si="9"/>
        <v>5.3026000000000002E-3</v>
      </c>
      <c r="W46" t="str">
        <f t="shared" si="10"/>
        <v/>
      </c>
      <c r="X46" t="str">
        <f t="shared" si="11"/>
        <v/>
      </c>
      <c r="Y46" t="str">
        <f>VLOOKUP($A46,Runs!$G:$G,1,FALSE)</f>
        <v>Doge Coins</v>
      </c>
    </row>
    <row r="47" spans="1:25" ht="22.5" customHeight="1" x14ac:dyDescent="0.25">
      <c r="A47" s="2" t="s">
        <v>208</v>
      </c>
      <c r="B47" s="2" t="s">
        <v>750</v>
      </c>
      <c r="C47" s="3">
        <v>6.0000000000000001E-3</v>
      </c>
      <c r="D47" s="6" t="s">
        <v>105</v>
      </c>
      <c r="E47">
        <f>(30-C47*100)*VLOOKUP($D47,Calc!$A$1:$C$6,3,FALSE)</f>
        <v>29.4</v>
      </c>
      <c r="F47" s="6">
        <f>VLOOKUP(D47,Calc!$A$1:$B$6,2,FALSE)</f>
        <v>2</v>
      </c>
      <c r="G47" s="10">
        <f t="shared" si="0"/>
        <v>6.1999999999999998E-3</v>
      </c>
      <c r="H47" s="9">
        <f t="shared" si="1"/>
        <v>4.1E-5</v>
      </c>
      <c r="I47" s="10">
        <f t="shared" si="2"/>
        <v>6.2040999999999997E-3</v>
      </c>
      <c r="J47" s="10" t="str">
        <f t="shared" si="3"/>
        <v/>
      </c>
      <c r="K47" s="10">
        <f t="shared" si="4"/>
        <v>6.2040999999999997E-3</v>
      </c>
      <c r="L47" s="9">
        <f t="shared" si="5"/>
        <v>1.9937959000000001</v>
      </c>
      <c r="M47" s="9" t="str">
        <f t="shared" si="6"/>
        <v/>
      </c>
      <c r="N47" s="9">
        <f t="shared" si="7"/>
        <v>1.9937959000000001</v>
      </c>
      <c r="O47" s="4"/>
      <c r="Q47" s="7" t="s">
        <v>1047</v>
      </c>
      <c r="R47" s="7" t="s">
        <v>1048</v>
      </c>
      <c r="S47" s="7" t="s">
        <v>1049</v>
      </c>
      <c r="T47" s="7" t="s">
        <v>770</v>
      </c>
      <c r="U47">
        <f t="shared" si="8"/>
        <v>6.2040999999999997E-3</v>
      </c>
      <c r="V47" t="str">
        <f t="shared" si="9"/>
        <v/>
      </c>
      <c r="W47" t="str">
        <f t="shared" si="10"/>
        <v/>
      </c>
      <c r="X47" t="str">
        <f t="shared" si="11"/>
        <v/>
      </c>
      <c r="Y47" t="e">
        <f>VLOOKUP($A47,Runs!$G:$G,1,FALSE)</f>
        <v>#N/A</v>
      </c>
    </row>
    <row r="48" spans="1:25" ht="22.5" customHeight="1" x14ac:dyDescent="0.25">
      <c r="A48" s="2" t="s">
        <v>528</v>
      </c>
      <c r="B48" s="2" t="s">
        <v>529</v>
      </c>
      <c r="C48" s="3">
        <v>6.0000000000000001E-3</v>
      </c>
      <c r="D48" s="6" t="s">
        <v>434</v>
      </c>
      <c r="E48">
        <f>(30-C48*100)*VLOOKUP($D48,Calc!$A$1:$C$6,3,FALSE)</f>
        <v>147</v>
      </c>
      <c r="F48" s="6">
        <f>VLOOKUP(D48,Calc!$A$1:$B$6,2,FALSE)</f>
        <v>4</v>
      </c>
      <c r="G48" s="10">
        <f t="shared" si="0"/>
        <v>6.4000000000000003E-3</v>
      </c>
      <c r="H48" s="9">
        <f t="shared" si="1"/>
        <v>4.0000000000000003E-5</v>
      </c>
      <c r="I48" s="10">
        <f t="shared" si="2"/>
        <v>6.404E-3</v>
      </c>
      <c r="J48" s="10" t="str">
        <f t="shared" si="3"/>
        <v/>
      </c>
      <c r="K48" s="10">
        <f t="shared" si="4"/>
        <v>6.404E-3</v>
      </c>
      <c r="L48" s="9">
        <f t="shared" si="5"/>
        <v>3.9935960000000001</v>
      </c>
      <c r="M48" s="9" t="str">
        <f t="shared" si="6"/>
        <v/>
      </c>
      <c r="N48" s="9">
        <f t="shared" si="7"/>
        <v>3.9935960000000001</v>
      </c>
      <c r="O48" s="4"/>
      <c r="Q48" s="7"/>
      <c r="R48" s="7" t="s">
        <v>1453</v>
      </c>
      <c r="S48" s="8" t="s">
        <v>1454</v>
      </c>
      <c r="T48" s="7"/>
      <c r="U48" t="str">
        <f t="shared" si="8"/>
        <v/>
      </c>
      <c r="V48" t="str">
        <f t="shared" si="9"/>
        <v/>
      </c>
      <c r="W48">
        <f t="shared" si="10"/>
        <v>6.404E-3</v>
      </c>
      <c r="X48" t="str">
        <f t="shared" si="11"/>
        <v/>
      </c>
      <c r="Y48" t="str">
        <f>VLOOKUP($A48,Runs!$G:$G,1,FALSE)</f>
        <v>Why is the Rûm gone!?</v>
      </c>
    </row>
    <row r="49" spans="1:25" ht="22.5" customHeight="1" x14ac:dyDescent="0.25">
      <c r="A49" s="2" t="s">
        <v>555</v>
      </c>
      <c r="B49" s="2" t="s">
        <v>724</v>
      </c>
      <c r="C49" s="3">
        <v>6.0000000000000001E-3</v>
      </c>
      <c r="D49" s="6" t="s">
        <v>434</v>
      </c>
      <c r="E49">
        <f>(30-C49*100)*VLOOKUP($D49,Calc!$A$1:$C$6,3,FALSE)</f>
        <v>147</v>
      </c>
      <c r="F49" s="6">
        <f>VLOOKUP(D49,Calc!$A$1:$B$6,2,FALSE)</f>
        <v>4</v>
      </c>
      <c r="G49" s="10">
        <f t="shared" si="0"/>
        <v>6.4000000000000003E-3</v>
      </c>
      <c r="H49" s="9">
        <f t="shared" si="1"/>
        <v>6.3999999999999997E-5</v>
      </c>
      <c r="I49" s="10">
        <f t="shared" si="2"/>
        <v>6.4064000000000005E-3</v>
      </c>
      <c r="J49" s="10">
        <f t="shared" si="3"/>
        <v>6.4064000000000005E-3</v>
      </c>
      <c r="K49" s="10" t="str">
        <f t="shared" si="4"/>
        <v/>
      </c>
      <c r="L49" s="9">
        <f t="shared" si="5"/>
        <v>3.9935936000000001</v>
      </c>
      <c r="M49" s="9">
        <f t="shared" si="6"/>
        <v>3.9935936000000001</v>
      </c>
      <c r="N49" s="9" t="str">
        <f t="shared" si="7"/>
        <v/>
      </c>
      <c r="O49" s="4" t="s">
        <v>755</v>
      </c>
      <c r="P49" s="1" t="s">
        <v>1860</v>
      </c>
      <c r="Q49" s="7" t="s">
        <v>1551</v>
      </c>
      <c r="R49" s="7" t="s">
        <v>1552</v>
      </c>
      <c r="S49" s="8" t="s">
        <v>1553</v>
      </c>
      <c r="T49" s="7"/>
      <c r="U49" t="str">
        <f t="shared" si="8"/>
        <v/>
      </c>
      <c r="V49" t="str">
        <f t="shared" si="9"/>
        <v/>
      </c>
      <c r="W49" t="str">
        <f t="shared" si="10"/>
        <v/>
      </c>
      <c r="X49" t="str">
        <f t="shared" si="11"/>
        <v/>
      </c>
      <c r="Y49" t="str">
        <f>VLOOKUP($A49,Runs!$G:$G,1,FALSE)</f>
        <v>The Fezzan Corridors</v>
      </c>
    </row>
    <row r="50" spans="1:25" ht="22.5" customHeight="1" x14ac:dyDescent="0.25">
      <c r="A50" s="2" t="s">
        <v>513</v>
      </c>
      <c r="B50" s="2" t="s">
        <v>514</v>
      </c>
      <c r="C50" s="3">
        <v>6.0000000000000001E-3</v>
      </c>
      <c r="D50" s="6" t="s">
        <v>434</v>
      </c>
      <c r="E50">
        <f>(30-C50*100)*VLOOKUP($D50,Calc!$A$1:$C$6,3,FALSE)</f>
        <v>147</v>
      </c>
      <c r="F50" s="6">
        <f>VLOOKUP(D50,Calc!$A$1:$B$6,2,FALSE)</f>
        <v>4</v>
      </c>
      <c r="G50" s="10">
        <f t="shared" si="0"/>
        <v>6.4000000000000003E-3</v>
      </c>
      <c r="H50" s="9">
        <f t="shared" si="1"/>
        <v>6.4999999999999994E-5</v>
      </c>
      <c r="I50" s="10">
        <f t="shared" si="2"/>
        <v>6.4065000000000007E-3</v>
      </c>
      <c r="J50" s="10">
        <f t="shared" si="3"/>
        <v>6.4065000000000007E-3</v>
      </c>
      <c r="K50" s="10" t="str">
        <f t="shared" si="4"/>
        <v/>
      </c>
      <c r="L50" s="9">
        <f t="shared" si="5"/>
        <v>3.9935934999999998</v>
      </c>
      <c r="M50" s="9">
        <f t="shared" si="6"/>
        <v>3.9935934999999998</v>
      </c>
      <c r="N50" s="9" t="str">
        <f t="shared" si="7"/>
        <v/>
      </c>
      <c r="O50" s="4" t="s">
        <v>755</v>
      </c>
      <c r="P50" s="1" t="s">
        <v>1916</v>
      </c>
      <c r="Q50" s="7" t="s">
        <v>932</v>
      </c>
      <c r="R50" s="7" t="s">
        <v>1415</v>
      </c>
      <c r="S50" s="8" t="s">
        <v>1416</v>
      </c>
      <c r="T50" s="7"/>
      <c r="U50" t="str">
        <f t="shared" si="8"/>
        <v/>
      </c>
      <c r="V50" t="str">
        <f t="shared" si="9"/>
        <v/>
      </c>
      <c r="W50" t="str">
        <f t="shared" si="10"/>
        <v/>
      </c>
      <c r="X50" t="str">
        <f t="shared" si="11"/>
        <v/>
      </c>
      <c r="Y50" t="str">
        <f>VLOOKUP($A50,Runs!$G:$G,1,FALSE)</f>
        <v>Stiff Upper Lippe</v>
      </c>
    </row>
    <row r="51" spans="1:25" ht="22.5" customHeight="1" x14ac:dyDescent="0.25">
      <c r="A51" s="2" t="s">
        <v>511</v>
      </c>
      <c r="B51" s="2" t="s">
        <v>512</v>
      </c>
      <c r="C51" s="3">
        <v>6.0000000000000001E-3</v>
      </c>
      <c r="D51" s="6" t="s">
        <v>434</v>
      </c>
      <c r="E51">
        <f>(30-C51*100)*VLOOKUP($D51,Calc!$A$1:$C$6,3,FALSE)</f>
        <v>147</v>
      </c>
      <c r="F51" s="6">
        <f>VLOOKUP(D51,Calc!$A$1:$B$6,2,FALSE)</f>
        <v>4</v>
      </c>
      <c r="G51" s="10">
        <f t="shared" si="0"/>
        <v>6.4000000000000003E-3</v>
      </c>
      <c r="H51" s="9">
        <f t="shared" si="1"/>
        <v>5.3000000000000001E-5</v>
      </c>
      <c r="I51" s="10">
        <f t="shared" si="2"/>
        <v>6.4053000000000001E-3</v>
      </c>
      <c r="J51" s="10" t="str">
        <f t="shared" si="3"/>
        <v/>
      </c>
      <c r="K51" s="10">
        <f t="shared" si="4"/>
        <v>6.4053000000000001E-3</v>
      </c>
      <c r="L51" s="9">
        <f t="shared" si="5"/>
        <v>3.9935947000000001</v>
      </c>
      <c r="M51" s="9" t="str">
        <f t="shared" si="6"/>
        <v/>
      </c>
      <c r="N51" s="9">
        <f t="shared" si="7"/>
        <v>3.9935947000000001</v>
      </c>
      <c r="O51" s="4"/>
      <c r="Q51" s="7" t="s">
        <v>1412</v>
      </c>
      <c r="R51" s="7" t="s">
        <v>1413</v>
      </c>
      <c r="S51" s="8" t="s">
        <v>1414</v>
      </c>
      <c r="T51" s="7"/>
      <c r="U51" t="str">
        <f t="shared" si="8"/>
        <v/>
      </c>
      <c r="V51" t="str">
        <f t="shared" si="9"/>
        <v/>
      </c>
      <c r="W51">
        <f t="shared" si="10"/>
        <v>6.4053000000000001E-3</v>
      </c>
      <c r="X51" t="str">
        <f t="shared" si="11"/>
        <v/>
      </c>
      <c r="Y51" t="str">
        <f>VLOOKUP($A51,Runs!$G:$G,1,FALSE)</f>
        <v>Stern des Südens</v>
      </c>
    </row>
    <row r="52" spans="1:25" ht="22.5" customHeight="1" x14ac:dyDescent="0.25">
      <c r="A52" s="2" t="s">
        <v>503</v>
      </c>
      <c r="B52" s="2" t="s">
        <v>504</v>
      </c>
      <c r="C52" s="3">
        <v>6.0000000000000001E-3</v>
      </c>
      <c r="D52" s="6" t="s">
        <v>434</v>
      </c>
      <c r="E52">
        <f>(30-C52*100)*VLOOKUP($D52,Calc!$A$1:$C$6,3,FALSE)</f>
        <v>147</v>
      </c>
      <c r="F52" s="6">
        <f>VLOOKUP(D52,Calc!$A$1:$B$6,2,FALSE)</f>
        <v>4</v>
      </c>
      <c r="G52" s="10">
        <f t="shared" si="0"/>
        <v>6.4000000000000003E-3</v>
      </c>
      <c r="H52" s="9">
        <f t="shared" si="1"/>
        <v>6.7999999999999999E-5</v>
      </c>
      <c r="I52" s="10">
        <f t="shared" si="2"/>
        <v>6.4068000000000007E-3</v>
      </c>
      <c r="J52" s="10" t="str">
        <f t="shared" si="3"/>
        <v/>
      </c>
      <c r="K52" s="10">
        <f t="shared" si="4"/>
        <v>6.4068000000000007E-3</v>
      </c>
      <c r="L52" s="9">
        <f t="shared" si="5"/>
        <v>3.9935931999999998</v>
      </c>
      <c r="M52" s="9" t="str">
        <f t="shared" si="6"/>
        <v/>
      </c>
      <c r="N52" s="9">
        <f t="shared" si="7"/>
        <v>3.9935931999999998</v>
      </c>
      <c r="O52" s="4"/>
      <c r="Q52" s="7" t="s">
        <v>1392</v>
      </c>
      <c r="R52" s="7" t="s">
        <v>1393</v>
      </c>
      <c r="S52" s="8" t="s">
        <v>1394</v>
      </c>
      <c r="T52" s="7"/>
      <c r="U52" t="str">
        <f t="shared" si="8"/>
        <v/>
      </c>
      <c r="V52" t="str">
        <f t="shared" si="9"/>
        <v/>
      </c>
      <c r="W52">
        <f t="shared" si="10"/>
        <v>6.4068000000000007E-3</v>
      </c>
      <c r="X52" t="str">
        <f t="shared" si="11"/>
        <v/>
      </c>
      <c r="Y52" t="str">
        <f>VLOOKUP($A52,Runs!$G:$G,1,FALSE)</f>
        <v>Pick Your Poison</v>
      </c>
    </row>
    <row r="53" spans="1:25" ht="22.5" customHeight="1" x14ac:dyDescent="0.25">
      <c r="A53" s="2" t="s">
        <v>499</v>
      </c>
      <c r="B53" s="2" t="s">
        <v>500</v>
      </c>
      <c r="C53" s="3">
        <v>6.0000000000000001E-3</v>
      </c>
      <c r="D53" s="6" t="s">
        <v>434</v>
      </c>
      <c r="E53">
        <f>(30-C53*100)*VLOOKUP($D53,Calc!$A$1:$C$6,3,FALSE)</f>
        <v>147</v>
      </c>
      <c r="F53" s="6">
        <f>VLOOKUP(D53,Calc!$A$1:$B$6,2,FALSE)</f>
        <v>4</v>
      </c>
      <c r="G53" s="10">
        <f t="shared" si="0"/>
        <v>6.4000000000000003E-3</v>
      </c>
      <c r="H53" s="9">
        <f t="shared" si="1"/>
        <v>3.4E-5</v>
      </c>
      <c r="I53" s="10">
        <f t="shared" si="2"/>
        <v>6.4034000000000001E-3</v>
      </c>
      <c r="J53" s="10" t="str">
        <f t="shared" si="3"/>
        <v/>
      </c>
      <c r="K53" s="10">
        <f t="shared" si="4"/>
        <v>6.4034000000000001E-3</v>
      </c>
      <c r="L53" s="9">
        <f t="shared" si="5"/>
        <v>3.9935966000000001</v>
      </c>
      <c r="M53" s="9" t="str">
        <f t="shared" si="6"/>
        <v/>
      </c>
      <c r="N53" s="9">
        <f t="shared" si="7"/>
        <v>3.9935966000000001</v>
      </c>
      <c r="O53" s="4"/>
      <c r="Q53" s="7" t="s">
        <v>1389</v>
      </c>
      <c r="R53" s="8" t="s">
        <v>1390</v>
      </c>
      <c r="S53" s="7"/>
      <c r="T53" s="7"/>
      <c r="U53" t="str">
        <f t="shared" si="8"/>
        <v/>
      </c>
      <c r="V53" t="str">
        <f t="shared" si="9"/>
        <v/>
      </c>
      <c r="W53">
        <f t="shared" si="10"/>
        <v>6.4034000000000001E-3</v>
      </c>
      <c r="X53" t="str">
        <f t="shared" si="11"/>
        <v/>
      </c>
      <c r="Y53" t="str">
        <f>VLOOKUP($A53,Runs!$G:$G,1,FALSE)</f>
        <v>Pandya Empire</v>
      </c>
    </row>
    <row r="54" spans="1:25" ht="22.5" customHeight="1" x14ac:dyDescent="0.25">
      <c r="A54" s="2" t="s">
        <v>491</v>
      </c>
      <c r="B54" s="2" t="s">
        <v>492</v>
      </c>
      <c r="C54" s="3">
        <v>6.0000000000000001E-3</v>
      </c>
      <c r="D54" s="6" t="s">
        <v>434</v>
      </c>
      <c r="E54">
        <f>(30-C54*100)*VLOOKUP($D54,Calc!$A$1:$C$6,3,FALSE)</f>
        <v>147</v>
      </c>
      <c r="F54" s="6">
        <f>VLOOKUP(D54,Calc!$A$1:$B$6,2,FALSE)</f>
        <v>4</v>
      </c>
      <c r="G54" s="10">
        <f t="shared" si="0"/>
        <v>6.4000000000000003E-3</v>
      </c>
      <c r="H54" s="9">
        <f t="shared" si="1"/>
        <v>6.8999999999999997E-5</v>
      </c>
      <c r="I54" s="10">
        <f t="shared" si="2"/>
        <v>6.4069000000000001E-3</v>
      </c>
      <c r="J54" s="10">
        <f t="shared" si="3"/>
        <v>6.4069000000000001E-3</v>
      </c>
      <c r="K54" s="10" t="str">
        <f t="shared" si="4"/>
        <v/>
      </c>
      <c r="L54" s="9">
        <f t="shared" si="5"/>
        <v>3.9935931</v>
      </c>
      <c r="M54" s="9">
        <f t="shared" si="6"/>
        <v>3.9935931</v>
      </c>
      <c r="N54" s="9" t="str">
        <f t="shared" si="7"/>
        <v/>
      </c>
      <c r="O54" s="4" t="s">
        <v>755</v>
      </c>
      <c r="P54" s="1" t="s">
        <v>1704</v>
      </c>
      <c r="Q54" s="7" t="s">
        <v>1373</v>
      </c>
      <c r="R54" s="7" t="s">
        <v>1374</v>
      </c>
      <c r="S54" s="8" t="s">
        <v>1375</v>
      </c>
      <c r="T54" s="7"/>
      <c r="U54" t="str">
        <f t="shared" si="8"/>
        <v/>
      </c>
      <c r="V54" t="str">
        <f t="shared" si="9"/>
        <v/>
      </c>
      <c r="W54" t="str">
        <f t="shared" si="10"/>
        <v/>
      </c>
      <c r="X54" t="str">
        <f t="shared" si="11"/>
        <v/>
      </c>
      <c r="Y54" t="str">
        <f>VLOOKUP($A54,Runs!$G:$G,1,FALSE)</f>
        <v>Mass Production</v>
      </c>
    </row>
    <row r="55" spans="1:25" ht="22.5" customHeight="1" x14ac:dyDescent="0.25">
      <c r="A55" s="2" t="s">
        <v>468</v>
      </c>
      <c r="B55" s="2" t="s">
        <v>662</v>
      </c>
      <c r="C55" s="3">
        <v>6.0000000000000001E-3</v>
      </c>
      <c r="D55" s="6" t="s">
        <v>434</v>
      </c>
      <c r="E55">
        <f>(30-C55*100)*VLOOKUP($D55,Calc!$A$1:$C$6,3,FALSE)</f>
        <v>147</v>
      </c>
      <c r="F55" s="6">
        <f>VLOOKUP(D55,Calc!$A$1:$B$6,2,FALSE)</f>
        <v>4</v>
      </c>
      <c r="G55" s="10">
        <f t="shared" si="0"/>
        <v>6.4000000000000003E-3</v>
      </c>
      <c r="H55" s="9">
        <f t="shared" si="1"/>
        <v>1.12E-4</v>
      </c>
      <c r="I55" s="10">
        <f t="shared" si="2"/>
        <v>6.4112000000000006E-3</v>
      </c>
      <c r="J55" s="10">
        <f t="shared" si="3"/>
        <v>6.4112000000000006E-3</v>
      </c>
      <c r="K55" s="10" t="str">
        <f t="shared" si="4"/>
        <v/>
      </c>
      <c r="L55" s="9">
        <f t="shared" si="5"/>
        <v>3.9935887999999999</v>
      </c>
      <c r="M55" s="9">
        <f t="shared" si="6"/>
        <v>3.9935887999999999</v>
      </c>
      <c r="N55" s="9" t="str">
        <f t="shared" si="7"/>
        <v/>
      </c>
      <c r="O55" s="4" t="s">
        <v>755</v>
      </c>
      <c r="P55" s="1" t="s">
        <v>1691</v>
      </c>
      <c r="Q55" s="7" t="s">
        <v>1329</v>
      </c>
      <c r="R55" s="7" t="s">
        <v>1330</v>
      </c>
      <c r="S55" s="8" t="s">
        <v>1331</v>
      </c>
      <c r="T55" s="7"/>
      <c r="U55" t="str">
        <f t="shared" si="8"/>
        <v/>
      </c>
      <c r="V55" t="str">
        <f t="shared" si="9"/>
        <v/>
      </c>
      <c r="W55" t="str">
        <f t="shared" si="10"/>
        <v/>
      </c>
      <c r="X55" t="str">
        <f t="shared" si="11"/>
        <v/>
      </c>
      <c r="Y55" t="e">
        <f>VLOOKUP($A55,Runs!$G:$G,1,FALSE)</f>
        <v>#N/A</v>
      </c>
    </row>
    <row r="56" spans="1:25" ht="22.5" customHeight="1" x14ac:dyDescent="0.25">
      <c r="A56" s="2" t="s">
        <v>463</v>
      </c>
      <c r="B56" s="2" t="s">
        <v>464</v>
      </c>
      <c r="C56" s="3">
        <v>6.0000000000000001E-3</v>
      </c>
      <c r="D56" s="6" t="s">
        <v>434</v>
      </c>
      <c r="E56">
        <f>(30-C56*100)*VLOOKUP($D56,Calc!$A$1:$C$6,3,FALSE)</f>
        <v>147</v>
      </c>
      <c r="F56" s="6">
        <f>VLOOKUP(D56,Calc!$A$1:$B$6,2,FALSE)</f>
        <v>4</v>
      </c>
      <c r="G56" s="10">
        <f t="shared" si="0"/>
        <v>6.4000000000000003E-3</v>
      </c>
      <c r="H56" s="9">
        <f t="shared" si="1"/>
        <v>7.7999999999999999E-5</v>
      </c>
      <c r="I56" s="10">
        <f t="shared" si="2"/>
        <v>6.4078E-3</v>
      </c>
      <c r="J56" s="10" t="str">
        <f t="shared" si="3"/>
        <v/>
      </c>
      <c r="K56" s="10">
        <f t="shared" si="4"/>
        <v>6.4078E-3</v>
      </c>
      <c r="L56" s="9">
        <f t="shared" si="5"/>
        <v>3.9935922000000001</v>
      </c>
      <c r="M56" s="9" t="str">
        <f t="shared" si="6"/>
        <v/>
      </c>
      <c r="N56" s="9">
        <f t="shared" si="7"/>
        <v>3.9935922000000001</v>
      </c>
      <c r="O56" s="4"/>
      <c r="Q56" s="7" t="s">
        <v>1321</v>
      </c>
      <c r="R56" s="8" t="s">
        <v>1322</v>
      </c>
      <c r="S56" s="7"/>
      <c r="T56" s="7"/>
      <c r="U56" t="str">
        <f t="shared" si="8"/>
        <v/>
      </c>
      <c r="V56" t="str">
        <f t="shared" si="9"/>
        <v/>
      </c>
      <c r="W56">
        <f t="shared" si="10"/>
        <v>6.4078E-3</v>
      </c>
      <c r="X56" t="str">
        <f t="shared" si="11"/>
        <v/>
      </c>
      <c r="Y56" t="str">
        <f>VLOOKUP($A56,Runs!$G:$G,1,FALSE)</f>
        <v>Dovmont's Own</v>
      </c>
    </row>
    <row r="57" spans="1:25" ht="22.5" customHeight="1" x14ac:dyDescent="0.25">
      <c r="A57" s="2" t="s">
        <v>348</v>
      </c>
      <c r="B57" s="2" t="s">
        <v>349</v>
      </c>
      <c r="C57" s="3">
        <v>6.0000000000000001E-3</v>
      </c>
      <c r="D57" s="6" t="s">
        <v>242</v>
      </c>
      <c r="E57">
        <f>(30-C57*100)*VLOOKUP($D57,Calc!$A$1:$C$6,3,FALSE)</f>
        <v>73.5</v>
      </c>
      <c r="F57" s="6">
        <f>VLOOKUP(D57,Calc!$A$1:$B$6,2,FALSE)</f>
        <v>3</v>
      </c>
      <c r="G57" s="10">
        <f t="shared" si="0"/>
        <v>6.3E-3</v>
      </c>
      <c r="H57" s="9">
        <f t="shared" si="1"/>
        <v>2.5000000000000001E-5</v>
      </c>
      <c r="I57" s="10">
        <f t="shared" si="2"/>
        <v>6.3024999999999999E-3</v>
      </c>
      <c r="J57" s="10">
        <f t="shared" si="3"/>
        <v>6.3024999999999999E-3</v>
      </c>
      <c r="K57" s="10" t="str">
        <f t="shared" si="4"/>
        <v/>
      </c>
      <c r="L57" s="9">
        <f t="shared" si="5"/>
        <v>2.9936975000000001</v>
      </c>
      <c r="M57" s="9">
        <f t="shared" si="6"/>
        <v>2.9936975000000001</v>
      </c>
      <c r="N57" s="9" t="str">
        <f t="shared" si="7"/>
        <v/>
      </c>
      <c r="O57" s="4" t="s">
        <v>755</v>
      </c>
      <c r="P57" s="1" t="s">
        <v>1888</v>
      </c>
      <c r="Q57" s="7" t="s">
        <v>1209</v>
      </c>
      <c r="R57" s="7" t="s">
        <v>1210</v>
      </c>
      <c r="S57" s="8" t="s">
        <v>1211</v>
      </c>
      <c r="T57" s="7"/>
      <c r="U57" t="str">
        <f t="shared" si="8"/>
        <v/>
      </c>
      <c r="V57" t="str">
        <f t="shared" si="9"/>
        <v/>
      </c>
      <c r="W57" t="str">
        <f t="shared" si="10"/>
        <v/>
      </c>
      <c r="X57" t="str">
        <f t="shared" si="11"/>
        <v/>
      </c>
      <c r="Y57" t="str">
        <f>VLOOKUP($A57,Runs!$G:$G,1,FALSE)</f>
        <v>That's No Mon</v>
      </c>
    </row>
    <row r="58" spans="1:25" ht="22.5" customHeight="1" x14ac:dyDescent="0.25">
      <c r="A58" s="2" t="s">
        <v>412</v>
      </c>
      <c r="B58" s="2" t="s">
        <v>719</v>
      </c>
      <c r="C58" s="3">
        <v>6.0000000000000001E-3</v>
      </c>
      <c r="D58" s="6" t="s">
        <v>242</v>
      </c>
      <c r="E58">
        <f>(30-C58*100)*VLOOKUP($D58,Calc!$A$1:$C$6,3,FALSE)</f>
        <v>73.5</v>
      </c>
      <c r="F58" s="6">
        <f>VLOOKUP(D58,Calc!$A$1:$B$6,2,FALSE)</f>
        <v>3</v>
      </c>
      <c r="G58" s="10">
        <f t="shared" si="0"/>
        <v>6.3E-3</v>
      </c>
      <c r="H58" s="9">
        <f t="shared" si="1"/>
        <v>6.7999999999999999E-5</v>
      </c>
      <c r="I58" s="10">
        <f t="shared" si="2"/>
        <v>6.3068000000000004E-3</v>
      </c>
      <c r="J58" s="10">
        <f t="shared" si="3"/>
        <v>6.3068000000000004E-3</v>
      </c>
      <c r="K58" s="10" t="str">
        <f t="shared" si="4"/>
        <v/>
      </c>
      <c r="L58" s="9">
        <f t="shared" si="5"/>
        <v>2.9936932000000001</v>
      </c>
      <c r="M58" s="9">
        <f t="shared" si="6"/>
        <v>2.9936932000000001</v>
      </c>
      <c r="N58" s="9" t="str">
        <f t="shared" si="7"/>
        <v/>
      </c>
      <c r="O58" s="4" t="s">
        <v>755</v>
      </c>
      <c r="P58" s="1" t="s">
        <v>2020</v>
      </c>
      <c r="Q58" s="7"/>
      <c r="R58" s="7" t="s">
        <v>1417</v>
      </c>
      <c r="S58" s="8" t="s">
        <v>1418</v>
      </c>
      <c r="T58" s="7"/>
      <c r="U58" t="str">
        <f t="shared" si="8"/>
        <v/>
      </c>
      <c r="V58" t="str">
        <f t="shared" si="9"/>
        <v/>
      </c>
      <c r="W58" t="str">
        <f t="shared" si="10"/>
        <v/>
      </c>
      <c r="X58" t="str">
        <f t="shared" si="11"/>
        <v/>
      </c>
      <c r="Y58" t="str">
        <f>VLOOKUP($A58,Runs!$G:$G,1,FALSE)</f>
        <v>Sun Invasion</v>
      </c>
    </row>
    <row r="59" spans="1:25" ht="22.5" customHeight="1" x14ac:dyDescent="0.25">
      <c r="A59" s="2" t="s">
        <v>253</v>
      </c>
      <c r="B59" s="2" t="s">
        <v>713</v>
      </c>
      <c r="C59" s="3">
        <v>6.0000000000000001E-3</v>
      </c>
      <c r="D59" s="6" t="s">
        <v>242</v>
      </c>
      <c r="E59">
        <f>(30-C59*100)*VLOOKUP($D59,Calc!$A$1:$C$6,3,FALSE)</f>
        <v>73.5</v>
      </c>
      <c r="F59" s="6">
        <f>VLOOKUP(D59,Calc!$A$1:$B$6,2,FALSE)</f>
        <v>3</v>
      </c>
      <c r="G59" s="10">
        <f t="shared" si="0"/>
        <v>6.3E-3</v>
      </c>
      <c r="H59" s="9">
        <f t="shared" si="1"/>
        <v>5.7000000000000003E-5</v>
      </c>
      <c r="I59" s="10">
        <f t="shared" si="2"/>
        <v>6.3057E-3</v>
      </c>
      <c r="J59" s="10">
        <f t="shared" si="3"/>
        <v>6.3057E-3</v>
      </c>
      <c r="K59" s="10" t="str">
        <f t="shared" si="4"/>
        <v/>
      </c>
      <c r="L59" s="9">
        <f t="shared" si="5"/>
        <v>2.9936943</v>
      </c>
      <c r="M59" s="9">
        <f t="shared" si="6"/>
        <v>2.9936943</v>
      </c>
      <c r="N59" s="9" t="str">
        <f t="shared" si="7"/>
        <v/>
      </c>
      <c r="O59" s="4" t="s">
        <v>755</v>
      </c>
      <c r="P59" s="1" t="s">
        <v>1782</v>
      </c>
      <c r="Q59" s="7"/>
      <c r="R59" s="7" t="s">
        <v>1003</v>
      </c>
      <c r="S59" s="8" t="s">
        <v>1004</v>
      </c>
      <c r="T59" s="7"/>
      <c r="U59" t="str">
        <f t="shared" si="8"/>
        <v/>
      </c>
      <c r="V59" t="str">
        <f t="shared" si="9"/>
        <v/>
      </c>
      <c r="W59" t="str">
        <f t="shared" si="10"/>
        <v/>
      </c>
      <c r="X59" t="str">
        <f t="shared" si="11"/>
        <v/>
      </c>
      <c r="Y59" t="str">
        <f>VLOOKUP($A59,Runs!$G:$G,1,FALSE)</f>
        <v>Shemot is Not</v>
      </c>
    </row>
    <row r="60" spans="1:25" ht="22.5" customHeight="1" x14ac:dyDescent="0.25">
      <c r="A60" s="2" t="s">
        <v>314</v>
      </c>
      <c r="B60" s="2" t="s">
        <v>695</v>
      </c>
      <c r="C60" s="3">
        <v>6.0000000000000001E-3</v>
      </c>
      <c r="D60" s="6" t="s">
        <v>242</v>
      </c>
      <c r="E60">
        <f>(30-C60*100)*VLOOKUP($D60,Calc!$A$1:$C$6,3,FALSE)</f>
        <v>73.5</v>
      </c>
      <c r="F60" s="6">
        <f>VLOOKUP(D60,Calc!$A$1:$B$6,2,FALSE)</f>
        <v>3</v>
      </c>
      <c r="G60" s="10">
        <f t="shared" si="0"/>
        <v>6.3E-3</v>
      </c>
      <c r="H60" s="9">
        <f t="shared" si="1"/>
        <v>5.0000000000000002E-5</v>
      </c>
      <c r="I60" s="10">
        <f t="shared" si="2"/>
        <v>6.3049999999999998E-3</v>
      </c>
      <c r="J60" s="10">
        <f t="shared" si="3"/>
        <v>6.3049999999999998E-3</v>
      </c>
      <c r="K60" s="10" t="str">
        <f t="shared" si="4"/>
        <v/>
      </c>
      <c r="L60" s="9">
        <f t="shared" si="5"/>
        <v>2.9936950000000002</v>
      </c>
      <c r="M60" s="9">
        <f t="shared" si="6"/>
        <v>2.9936950000000002</v>
      </c>
      <c r="N60" s="9" t="str">
        <f t="shared" si="7"/>
        <v/>
      </c>
      <c r="O60" s="4" t="s">
        <v>755</v>
      </c>
      <c r="P60" s="1" t="s">
        <v>1781</v>
      </c>
      <c r="Q60" s="7" t="s">
        <v>873</v>
      </c>
      <c r="R60" s="7" t="s">
        <v>1153</v>
      </c>
      <c r="S60" s="8" t="s">
        <v>1154</v>
      </c>
      <c r="T60" s="7"/>
      <c r="U60" t="str">
        <f t="shared" si="8"/>
        <v/>
      </c>
      <c r="V60" t="str">
        <f t="shared" si="9"/>
        <v/>
      </c>
      <c r="W60" t="str">
        <f t="shared" si="10"/>
        <v/>
      </c>
      <c r="X60" t="str">
        <f t="shared" si="11"/>
        <v/>
      </c>
      <c r="Y60" t="str">
        <f>VLOOKUP($A60,Runs!$G:$G,1,FALSE)</f>
        <v>Mansa Musa</v>
      </c>
    </row>
    <row r="61" spans="1:25" ht="22.5" customHeight="1" x14ac:dyDescent="0.25">
      <c r="A61" s="2" t="s">
        <v>424</v>
      </c>
      <c r="B61" s="2" t="s">
        <v>425</v>
      </c>
      <c r="C61" s="3">
        <v>6.0000000000000001E-3</v>
      </c>
      <c r="D61" s="6" t="s">
        <v>242</v>
      </c>
      <c r="E61">
        <f>(30-C61*100)*VLOOKUP($D61,Calc!$A$1:$C$6,3,FALSE)</f>
        <v>73.5</v>
      </c>
      <c r="F61" s="6">
        <f>VLOOKUP(D61,Calc!$A$1:$B$6,2,FALSE)</f>
        <v>3</v>
      </c>
      <c r="G61" s="10">
        <f t="shared" si="0"/>
        <v>6.3E-3</v>
      </c>
      <c r="H61" s="9">
        <f t="shared" si="1"/>
        <v>-1.9999999999999999E-6</v>
      </c>
      <c r="I61" s="10">
        <f t="shared" si="2"/>
        <v>6.2998000000000004E-3</v>
      </c>
      <c r="J61" s="10">
        <f t="shared" si="3"/>
        <v>6.2998000000000004E-3</v>
      </c>
      <c r="K61" s="10" t="str">
        <f t="shared" si="4"/>
        <v/>
      </c>
      <c r="L61" s="9">
        <f t="shared" si="5"/>
        <v>2.9937002000000001</v>
      </c>
      <c r="M61" s="9">
        <f t="shared" si="6"/>
        <v>2.9937002000000001</v>
      </c>
      <c r="N61" s="9" t="str">
        <f t="shared" si="7"/>
        <v/>
      </c>
      <c r="O61" s="4" t="s">
        <v>755</v>
      </c>
      <c r="P61" s="1" t="s">
        <v>1866</v>
      </c>
      <c r="Q61" s="7"/>
      <c r="R61" s="8" t="s">
        <v>1593</v>
      </c>
      <c r="S61" s="7"/>
      <c r="T61" s="7"/>
      <c r="U61" t="str">
        <f t="shared" si="8"/>
        <v/>
      </c>
      <c r="V61" t="str">
        <f t="shared" si="9"/>
        <v/>
      </c>
      <c r="W61" t="str">
        <f t="shared" si="10"/>
        <v/>
      </c>
      <c r="X61" t="str">
        <f t="shared" si="11"/>
        <v/>
      </c>
      <c r="Y61" t="str">
        <f>VLOOKUP($A61,Runs!$G:$G,1,FALSE)</f>
        <v>King of Kings</v>
      </c>
    </row>
    <row r="62" spans="1:25" ht="22.5" customHeight="1" x14ac:dyDescent="0.25">
      <c r="A62" s="2" t="s">
        <v>265</v>
      </c>
      <c r="B62" s="2" t="s">
        <v>266</v>
      </c>
      <c r="C62" s="3">
        <v>6.0000000000000001E-3</v>
      </c>
      <c r="D62" s="6" t="s">
        <v>242</v>
      </c>
      <c r="E62">
        <f>(30-C62*100)*VLOOKUP($D62,Calc!$A$1:$C$6,3,FALSE)</f>
        <v>73.5</v>
      </c>
      <c r="F62" s="6">
        <f>VLOOKUP(D62,Calc!$A$1:$B$6,2,FALSE)</f>
        <v>3</v>
      </c>
      <c r="G62" s="10">
        <f t="shared" si="0"/>
        <v>6.3E-3</v>
      </c>
      <c r="H62" s="9">
        <f t="shared" si="1"/>
        <v>6.2000000000000003E-5</v>
      </c>
      <c r="I62" s="10">
        <f t="shared" si="2"/>
        <v>6.3061999999999997E-3</v>
      </c>
      <c r="J62" s="10">
        <f t="shared" si="3"/>
        <v>6.3061999999999997E-3</v>
      </c>
      <c r="K62" s="10" t="str">
        <f t="shared" si="4"/>
        <v/>
      </c>
      <c r="L62" s="9">
        <f t="shared" si="5"/>
        <v>2.9936938</v>
      </c>
      <c r="M62" s="9">
        <f t="shared" si="6"/>
        <v>2.9936938</v>
      </c>
      <c r="N62" s="9" t="str">
        <f t="shared" si="7"/>
        <v/>
      </c>
      <c r="O62" s="4" t="s">
        <v>755</v>
      </c>
      <c r="P62" s="1" t="s">
        <v>1696</v>
      </c>
      <c r="Q62" s="7"/>
      <c r="R62" s="7" t="s">
        <v>1066</v>
      </c>
      <c r="S62" s="8" t="s">
        <v>1067</v>
      </c>
      <c r="T62" s="7"/>
      <c r="U62" t="str">
        <f t="shared" si="8"/>
        <v/>
      </c>
      <c r="V62" t="str">
        <f t="shared" si="9"/>
        <v/>
      </c>
      <c r="W62" t="str">
        <f t="shared" si="10"/>
        <v/>
      </c>
      <c r="X62" t="str">
        <f t="shared" si="11"/>
        <v/>
      </c>
      <c r="Y62" t="e">
        <f>VLOOKUP($A62,Runs!$G:$G,1,FALSE)</f>
        <v>#N/A</v>
      </c>
    </row>
    <row r="63" spans="1:25" ht="22.5" customHeight="1" x14ac:dyDescent="0.25">
      <c r="A63" s="2" t="s">
        <v>29</v>
      </c>
      <c r="B63" s="2" t="s">
        <v>682</v>
      </c>
      <c r="C63" s="3">
        <v>6.0000000000000001E-3</v>
      </c>
      <c r="D63" s="6" t="s">
        <v>2</v>
      </c>
      <c r="E63">
        <f>(30-C63*100)*VLOOKUP($D63,Calc!$A$1:$C$6,3,FALSE)</f>
        <v>14.7</v>
      </c>
      <c r="F63" s="6">
        <f>VLOOKUP(D63,Calc!$A$1:$B$6,2,FALSE)</f>
        <v>1</v>
      </c>
      <c r="G63" s="10">
        <f t="shared" si="0"/>
        <v>6.1000000000000004E-3</v>
      </c>
      <c r="H63" s="9">
        <f t="shared" si="1"/>
        <v>1.15E-4</v>
      </c>
      <c r="I63" s="10">
        <f t="shared" si="2"/>
        <v>6.1115000000000006E-3</v>
      </c>
      <c r="J63" s="10" t="str">
        <f t="shared" si="3"/>
        <v/>
      </c>
      <c r="K63" s="10">
        <f t="shared" si="4"/>
        <v>6.1115000000000006E-3</v>
      </c>
      <c r="L63" s="9">
        <f t="shared" si="5"/>
        <v>0.99388849999999995</v>
      </c>
      <c r="M63" s="9" t="str">
        <f t="shared" si="6"/>
        <v/>
      </c>
      <c r="N63" s="9">
        <f t="shared" si="7"/>
        <v>0.99388849999999995</v>
      </c>
      <c r="O63" s="4"/>
      <c r="Q63" s="7" t="s">
        <v>807</v>
      </c>
      <c r="R63" s="7" t="s">
        <v>808</v>
      </c>
      <c r="S63" s="8" t="s">
        <v>809</v>
      </c>
      <c r="T63" s="7"/>
      <c r="U63" t="str">
        <f t="shared" si="8"/>
        <v/>
      </c>
      <c r="V63" t="str">
        <f t="shared" si="9"/>
        <v/>
      </c>
      <c r="W63" t="str">
        <f t="shared" si="10"/>
        <v/>
      </c>
      <c r="X63">
        <f t="shared" si="11"/>
        <v>6.1115000000000006E-3</v>
      </c>
      <c r="Y63" t="str">
        <f>VLOOKUP($A63,Runs!$G:$G,1,FALSE)</f>
        <v>Imposter Syndrome</v>
      </c>
    </row>
    <row r="64" spans="1:25" ht="22.5" customHeight="1" x14ac:dyDescent="0.25">
      <c r="A64" s="2" t="s">
        <v>586</v>
      </c>
      <c r="B64" s="2" t="s">
        <v>587</v>
      </c>
      <c r="C64" s="3">
        <v>6.0000000000000001E-3</v>
      </c>
      <c r="D64" s="6" t="s">
        <v>573</v>
      </c>
      <c r="E64">
        <f>(30-C64*100)*VLOOKUP($D64,Calc!$A$1:$C$6,3,FALSE)</f>
        <v>294</v>
      </c>
      <c r="F64" s="6">
        <f>VLOOKUP(D64,Calc!$A$1:$B$6,2,FALSE)</f>
        <v>5</v>
      </c>
      <c r="G64" s="10">
        <f t="shared" si="0"/>
        <v>6.5000000000000006E-3</v>
      </c>
      <c r="H64" s="9">
        <f t="shared" si="1"/>
        <v>4.8999999999999998E-5</v>
      </c>
      <c r="I64" s="10">
        <f t="shared" si="2"/>
        <v>6.504900000000001E-3</v>
      </c>
      <c r="J64" s="10" t="str">
        <f t="shared" si="3"/>
        <v/>
      </c>
      <c r="K64" s="10">
        <f t="shared" si="4"/>
        <v>6.504900000000001E-3</v>
      </c>
      <c r="L64" s="9">
        <f t="shared" si="5"/>
        <v>4.9934950999999996</v>
      </c>
      <c r="M64" s="9" t="str">
        <f t="shared" si="6"/>
        <v/>
      </c>
      <c r="N64" s="9">
        <f t="shared" si="7"/>
        <v>4.9934950999999996</v>
      </c>
      <c r="O64" s="4"/>
      <c r="Q64" s="7"/>
      <c r="R64" s="7" t="s">
        <v>1492</v>
      </c>
      <c r="S64" s="8" t="s">
        <v>1493</v>
      </c>
      <c r="T64" s="7"/>
      <c r="U64" t="str">
        <f t="shared" si="8"/>
        <v/>
      </c>
      <c r="V64" t="str">
        <f t="shared" si="9"/>
        <v/>
      </c>
      <c r="W64" t="str">
        <f t="shared" si="10"/>
        <v/>
      </c>
      <c r="X64" t="str">
        <f t="shared" si="11"/>
        <v/>
      </c>
      <c r="Y64" t="str">
        <f>VLOOKUP($A64,Runs!$G:$G,1,FALSE)</f>
        <v>Empire of Mann</v>
      </c>
    </row>
    <row r="65" spans="1:25" ht="22.5" customHeight="1" x14ac:dyDescent="0.25">
      <c r="A65" s="2" t="s">
        <v>583</v>
      </c>
      <c r="B65" s="2" t="s">
        <v>644</v>
      </c>
      <c r="C65" s="3">
        <v>6.0000000000000001E-3</v>
      </c>
      <c r="D65" s="6" t="s">
        <v>573</v>
      </c>
      <c r="E65">
        <f>(30-C65*100)*VLOOKUP($D65,Calc!$A$1:$C$6,3,FALSE)</f>
        <v>294</v>
      </c>
      <c r="F65" s="6">
        <f>VLOOKUP(D65,Calc!$A$1:$B$6,2,FALSE)</f>
        <v>5</v>
      </c>
      <c r="G65" s="10">
        <f t="shared" si="0"/>
        <v>6.5000000000000006E-3</v>
      </c>
      <c r="H65" s="9">
        <f t="shared" si="1"/>
        <v>6.0999999999999999E-5</v>
      </c>
      <c r="I65" s="10">
        <f t="shared" si="2"/>
        <v>6.5061000000000008E-3</v>
      </c>
      <c r="J65" s="10">
        <f t="shared" si="3"/>
        <v>6.5061000000000008E-3</v>
      </c>
      <c r="K65" s="10" t="str">
        <f t="shared" si="4"/>
        <v/>
      </c>
      <c r="L65" s="9">
        <f t="shared" si="5"/>
        <v>4.9934938999999998</v>
      </c>
      <c r="M65" s="9">
        <f t="shared" si="6"/>
        <v>4.9934938999999998</v>
      </c>
      <c r="N65" s="9" t="str">
        <f t="shared" si="7"/>
        <v/>
      </c>
      <c r="O65" s="4" t="s">
        <v>755</v>
      </c>
      <c r="P65" s="1" t="s">
        <v>1708</v>
      </c>
      <c r="Q65" s="7" t="s">
        <v>1474</v>
      </c>
      <c r="R65" s="7" t="s">
        <v>1475</v>
      </c>
      <c r="S65" s="7" t="s">
        <v>1476</v>
      </c>
      <c r="T65" s="7" t="s">
        <v>775</v>
      </c>
      <c r="U65" t="str">
        <f t="shared" si="8"/>
        <v/>
      </c>
      <c r="V65" t="str">
        <f t="shared" si="9"/>
        <v/>
      </c>
      <c r="W65" t="str">
        <f t="shared" si="10"/>
        <v/>
      </c>
      <c r="X65" t="str">
        <f t="shared" si="11"/>
        <v/>
      </c>
      <c r="Y65" t="e">
        <f>VLOOKUP($A65,Runs!$G:$G,1,FALSE)</f>
        <v>#N/A</v>
      </c>
    </row>
    <row r="66" spans="1:25" ht="22.5" customHeight="1" x14ac:dyDescent="0.25">
      <c r="A66" s="2" t="s">
        <v>530</v>
      </c>
      <c r="B66" s="2" t="s">
        <v>753</v>
      </c>
      <c r="C66" s="3">
        <v>7.0000000000000001E-3</v>
      </c>
      <c r="D66" s="6" t="s">
        <v>434</v>
      </c>
      <c r="E66">
        <f>(30-C66*100)*VLOOKUP($D66,Calc!$A$1:$C$6,3,FALSE)</f>
        <v>146.5</v>
      </c>
      <c r="F66" s="6">
        <f>VLOOKUP(D66,Calc!$A$1:$B$6,2,FALSE)</f>
        <v>4</v>
      </c>
      <c r="G66" s="10">
        <f t="shared" ref="G66:G129" si="12">C66+F66/10000</f>
        <v>7.4000000000000003E-3</v>
      </c>
      <c r="H66" s="9">
        <f t="shared" ref="H66:H129" si="13">( (CODE(UPPER(LEFT(A66,1)))-64)+(CODE(UPPER(RIGHT(LEFT(A66,2),1)))-64)+(CODE(UPPER(RIGHT(LEFT(A66,3),1)))-64)+(CODE(UPPER(RIGHT(LEFT(A66,4),1)))-64)+(CODE(UPPER(RIGHT(LEFT(A66,5),1)))-64)+(CODE(UPPER(RIGHT(LEFT(A66,6),1)))-64)+(CODE(UPPER(RIGHT(LEFT(A66,7),1)))-64)+(CODE(UPPER(RIGHT(LEFT(A66,8),1)))-64) )/1000000</f>
        <v>9.0000000000000002E-6</v>
      </c>
      <c r="I66" s="10">
        <f t="shared" ref="I66:I129" si="14">G66+H66/10</f>
        <v>7.4009000000000002E-3</v>
      </c>
      <c r="J66" s="10" t="str">
        <f t="shared" ref="J66:J129" si="15">IF($O66="","",I66)</f>
        <v/>
      </c>
      <c r="K66" s="10">
        <f t="shared" ref="K66:K129" si="16">IF($O66="",I66,"")</f>
        <v>7.4009000000000002E-3</v>
      </c>
      <c r="L66" s="9">
        <f t="shared" ref="L66:L129" si="17">F66-I66</f>
        <v>3.9925991000000001</v>
      </c>
      <c r="M66" s="9" t="str">
        <f t="shared" ref="M66:M129" si="18">IF($O66="","",L66)</f>
        <v/>
      </c>
      <c r="N66" s="9">
        <f t="shared" ref="N66:N129" si="19">IF($O66="",L66,"")</f>
        <v>3.9925991000000001</v>
      </c>
      <c r="O66" s="4"/>
      <c r="Q66" s="7" t="s">
        <v>1455</v>
      </c>
      <c r="R66" s="7" t="s">
        <v>1456</v>
      </c>
      <c r="S66" s="8" t="s">
        <v>1457</v>
      </c>
      <c r="T66" s="7"/>
      <c r="U66" t="str">
        <f t="shared" ref="U66:U129" si="20">IF($D66="E",K66,"")</f>
        <v/>
      </c>
      <c r="V66" t="str">
        <f t="shared" ref="V66:V129" si="21">IF($D66="M",K66,"")</f>
        <v/>
      </c>
      <c r="W66">
        <f t="shared" ref="W66:W129" si="22">IF($D66="H",K66,"")</f>
        <v>7.4009000000000002E-3</v>
      </c>
      <c r="X66" t="str">
        <f t="shared" ref="X66:X129" si="23">IF($D66="VE",K66,"")</f>
        <v/>
      </c>
      <c r="Y66" t="str">
        <f>VLOOKUP($A66,Runs!$G:$G,1,FALSE)</f>
        <v>With a little help..</v>
      </c>
    </row>
    <row r="67" spans="1:25" ht="22.5" customHeight="1" x14ac:dyDescent="0.25">
      <c r="A67" s="2" t="s">
        <v>525</v>
      </c>
      <c r="B67" s="2" t="s">
        <v>526</v>
      </c>
      <c r="C67" s="3">
        <v>7.0000000000000001E-3</v>
      </c>
      <c r="D67" s="6" t="s">
        <v>434</v>
      </c>
      <c r="E67">
        <f>(30-C67*100)*VLOOKUP($D67,Calc!$A$1:$C$6,3,FALSE)</f>
        <v>146.5</v>
      </c>
      <c r="F67" s="6">
        <f>VLOOKUP(D67,Calc!$A$1:$B$6,2,FALSE)</f>
        <v>4</v>
      </c>
      <c r="G67" s="10">
        <f t="shared" si="12"/>
        <v>7.4000000000000003E-3</v>
      </c>
      <c r="H67" s="9">
        <f t="shared" si="13"/>
        <v>7.3999999999999996E-5</v>
      </c>
      <c r="I67" s="10">
        <f t="shared" si="14"/>
        <v>7.4074000000000006E-3</v>
      </c>
      <c r="J67" s="10" t="str">
        <f t="shared" si="15"/>
        <v/>
      </c>
      <c r="K67" s="10">
        <f t="shared" si="16"/>
        <v>7.4074000000000006E-3</v>
      </c>
      <c r="L67" s="9">
        <f t="shared" si="17"/>
        <v>3.9925926</v>
      </c>
      <c r="M67" s="9" t="str">
        <f t="shared" si="18"/>
        <v/>
      </c>
      <c r="N67" s="9">
        <f t="shared" si="19"/>
        <v>3.9925926</v>
      </c>
      <c r="O67" s="4"/>
      <c r="Q67" s="7" t="s">
        <v>1447</v>
      </c>
      <c r="R67" s="7" t="s">
        <v>1448</v>
      </c>
      <c r="S67" s="8" t="s">
        <v>1449</v>
      </c>
      <c r="T67" s="7"/>
      <c r="U67" t="str">
        <f t="shared" si="20"/>
        <v/>
      </c>
      <c r="V67" t="str">
        <f t="shared" si="21"/>
        <v/>
      </c>
      <c r="W67">
        <f t="shared" si="22"/>
        <v>7.4074000000000006E-3</v>
      </c>
      <c r="X67" t="str">
        <f t="shared" si="23"/>
        <v/>
      </c>
      <c r="Y67" t="str">
        <f>VLOOKUP($A67,Runs!$G:$G,1,FALSE)</f>
        <v>Turkish Delight</v>
      </c>
    </row>
    <row r="68" spans="1:25" ht="22.5" customHeight="1" x14ac:dyDescent="0.25">
      <c r="A68" s="2" t="s">
        <v>523</v>
      </c>
      <c r="B68" s="2" t="s">
        <v>524</v>
      </c>
      <c r="C68" s="3">
        <v>7.0000000000000001E-3</v>
      </c>
      <c r="D68" s="6" t="s">
        <v>434</v>
      </c>
      <c r="E68">
        <f>(30-C68*100)*VLOOKUP($D68,Calc!$A$1:$C$6,3,FALSE)</f>
        <v>146.5</v>
      </c>
      <c r="F68" s="6">
        <f>VLOOKUP(D68,Calc!$A$1:$B$6,2,FALSE)</f>
        <v>4</v>
      </c>
      <c r="G68" s="10">
        <f t="shared" si="12"/>
        <v>7.4000000000000003E-3</v>
      </c>
      <c r="H68" s="9">
        <f t="shared" si="13"/>
        <v>4.8000000000000001E-5</v>
      </c>
      <c r="I68" s="10">
        <f t="shared" si="14"/>
        <v>7.4048000000000004E-3</v>
      </c>
      <c r="J68" s="10" t="str">
        <f t="shared" si="15"/>
        <v/>
      </c>
      <c r="K68" s="10">
        <f t="shared" si="16"/>
        <v>7.4048000000000004E-3</v>
      </c>
      <c r="L68" s="9">
        <f t="shared" si="17"/>
        <v>3.9925951999999998</v>
      </c>
      <c r="M68" s="9" t="str">
        <f t="shared" si="18"/>
        <v/>
      </c>
      <c r="N68" s="9">
        <f t="shared" si="19"/>
        <v>3.9925951999999998</v>
      </c>
      <c r="O68" s="4"/>
      <c r="Q68" s="7" t="s">
        <v>1444</v>
      </c>
      <c r="R68" s="7" t="s">
        <v>1445</v>
      </c>
      <c r="S68" s="8" t="s">
        <v>1446</v>
      </c>
      <c r="T68" s="7"/>
      <c r="U68" t="str">
        <f t="shared" si="20"/>
        <v/>
      </c>
      <c r="V68" t="str">
        <f t="shared" si="21"/>
        <v/>
      </c>
      <c r="W68">
        <f t="shared" si="22"/>
        <v>7.4048000000000004E-3</v>
      </c>
      <c r="X68" t="str">
        <f t="shared" si="23"/>
        <v/>
      </c>
      <c r="Y68" t="str">
        <f>VLOOKUP($A68,Runs!$G:$G,1,FALSE)</f>
        <v>Tiger of Mysore</v>
      </c>
    </row>
    <row r="69" spans="1:25" ht="22.5" customHeight="1" x14ac:dyDescent="0.25">
      <c r="A69" s="2" t="s">
        <v>520</v>
      </c>
      <c r="B69" s="2" t="s">
        <v>521</v>
      </c>
      <c r="C69" s="3">
        <v>7.0000000000000001E-3</v>
      </c>
      <c r="D69" s="6" t="s">
        <v>434</v>
      </c>
      <c r="E69">
        <f>(30-C69*100)*VLOOKUP($D69,Calc!$A$1:$C$6,3,FALSE)</f>
        <v>146.5</v>
      </c>
      <c r="F69" s="6">
        <f>VLOOKUP(D69,Calc!$A$1:$B$6,2,FALSE)</f>
        <v>4</v>
      </c>
      <c r="G69" s="10">
        <f t="shared" si="12"/>
        <v>7.4000000000000003E-3</v>
      </c>
      <c r="H69" s="9">
        <f t="shared" si="13"/>
        <v>-4.8999999999999998E-5</v>
      </c>
      <c r="I69" s="10">
        <f t="shared" si="14"/>
        <v>7.3950999999999999E-3</v>
      </c>
      <c r="J69" s="10" t="str">
        <f t="shared" si="15"/>
        <v/>
      </c>
      <c r="K69" s="10">
        <f t="shared" si="16"/>
        <v>7.3950999999999999E-3</v>
      </c>
      <c r="L69" s="9">
        <f t="shared" si="17"/>
        <v>3.9926048999999999</v>
      </c>
      <c r="M69" s="9" t="str">
        <f t="shared" si="18"/>
        <v/>
      </c>
      <c r="N69" s="9">
        <f t="shared" si="19"/>
        <v>3.9926048999999999</v>
      </c>
      <c r="O69" s="4"/>
      <c r="Q69" s="7" t="s">
        <v>1427</v>
      </c>
      <c r="R69" s="8" t="s">
        <v>1428</v>
      </c>
      <c r="S69" s="7"/>
      <c r="T69" s="7"/>
      <c r="U69" t="str">
        <f t="shared" si="20"/>
        <v/>
      </c>
      <c r="V69" t="str">
        <f t="shared" si="21"/>
        <v/>
      </c>
      <c r="W69">
        <f t="shared" si="22"/>
        <v>7.3950999999999999E-3</v>
      </c>
      <c r="X69" t="str">
        <f t="shared" si="23"/>
        <v/>
      </c>
      <c r="Y69" t="str">
        <f>VLOOKUP($A69,Runs!$G:$G,1,FALSE)</f>
        <v>The 52 Garhs</v>
      </c>
    </row>
    <row r="70" spans="1:25" ht="22.5" customHeight="1" x14ac:dyDescent="0.25">
      <c r="A70" s="2" t="s">
        <v>515</v>
      </c>
      <c r="B70" s="2" t="s">
        <v>722</v>
      </c>
      <c r="C70" s="3">
        <v>7.0000000000000001E-3</v>
      </c>
      <c r="D70" s="6" t="s">
        <v>434</v>
      </c>
      <c r="E70">
        <f>(30-C70*100)*VLOOKUP($D70,Calc!$A$1:$C$6,3,FALSE)</f>
        <v>146.5</v>
      </c>
      <c r="F70" s="6">
        <f>VLOOKUP(D70,Calc!$A$1:$B$6,2,FALSE)</f>
        <v>4</v>
      </c>
      <c r="G70" s="10">
        <f t="shared" si="12"/>
        <v>7.4000000000000003E-3</v>
      </c>
      <c r="H70" s="9">
        <f t="shared" si="13"/>
        <v>6.7999999999999999E-5</v>
      </c>
      <c r="I70" s="10">
        <f t="shared" si="14"/>
        <v>7.4068000000000007E-3</v>
      </c>
      <c r="J70" s="10">
        <f t="shared" si="15"/>
        <v>7.4068000000000007E-3</v>
      </c>
      <c r="K70" s="10" t="str">
        <f t="shared" si="16"/>
        <v/>
      </c>
      <c r="L70" s="9">
        <f t="shared" si="17"/>
        <v>3.9925932</v>
      </c>
      <c r="M70" s="9">
        <f t="shared" si="18"/>
        <v>3.9925932</v>
      </c>
      <c r="N70" s="9" t="str">
        <f t="shared" si="19"/>
        <v/>
      </c>
      <c r="O70" s="4" t="s">
        <v>755</v>
      </c>
      <c r="P70" s="1" t="s">
        <v>1666</v>
      </c>
      <c r="Q70" s="7" t="s">
        <v>1421</v>
      </c>
      <c r="R70" s="7" t="s">
        <v>1422</v>
      </c>
      <c r="S70" s="8" t="s">
        <v>1423</v>
      </c>
      <c r="T70" s="7"/>
      <c r="U70" t="str">
        <f t="shared" si="20"/>
        <v/>
      </c>
      <c r="V70" t="str">
        <f t="shared" si="21"/>
        <v/>
      </c>
      <c r="W70" t="str">
        <f t="shared" si="22"/>
        <v/>
      </c>
      <c r="X70" t="str">
        <f t="shared" si="23"/>
        <v/>
      </c>
      <c r="Y70" t="e">
        <f>VLOOKUP($A70,Runs!$G:$G,1,FALSE)</f>
        <v>#N/A</v>
      </c>
    </row>
    <row r="71" spans="1:25" ht="22.5" customHeight="1" x14ac:dyDescent="0.25">
      <c r="A71" s="2" t="s">
        <v>506</v>
      </c>
      <c r="B71" s="2" t="s">
        <v>708</v>
      </c>
      <c r="C71" s="3">
        <v>7.0000000000000001E-3</v>
      </c>
      <c r="D71" s="6" t="s">
        <v>434</v>
      </c>
      <c r="E71">
        <f>(30-C71*100)*VLOOKUP($D71,Calc!$A$1:$C$6,3,FALSE)</f>
        <v>146.5</v>
      </c>
      <c r="F71" s="6">
        <f>VLOOKUP(D71,Calc!$A$1:$B$6,2,FALSE)</f>
        <v>4</v>
      </c>
      <c r="G71" s="10">
        <f t="shared" si="12"/>
        <v>7.4000000000000003E-3</v>
      </c>
      <c r="H71" s="9">
        <f t="shared" si="13"/>
        <v>6.4999999999999994E-5</v>
      </c>
      <c r="I71" s="10">
        <f t="shared" si="14"/>
        <v>7.4065000000000008E-3</v>
      </c>
      <c r="J71" s="10" t="str">
        <f t="shared" si="15"/>
        <v/>
      </c>
      <c r="K71" s="10">
        <f t="shared" si="16"/>
        <v>7.4065000000000008E-3</v>
      </c>
      <c r="L71" s="9">
        <f t="shared" si="17"/>
        <v>3.9925934999999999</v>
      </c>
      <c r="M71" s="9" t="str">
        <f t="shared" si="18"/>
        <v/>
      </c>
      <c r="N71" s="9">
        <f t="shared" si="19"/>
        <v>3.9925934999999999</v>
      </c>
      <c r="O71" s="4"/>
      <c r="Q71" s="7" t="s">
        <v>932</v>
      </c>
      <c r="R71" s="7" t="s">
        <v>1398</v>
      </c>
      <c r="S71" s="8" t="s">
        <v>1399</v>
      </c>
      <c r="T71" s="7"/>
      <c r="U71" t="str">
        <f t="shared" si="20"/>
        <v/>
      </c>
      <c r="V71" t="str">
        <f t="shared" si="21"/>
        <v/>
      </c>
      <c r="W71">
        <f t="shared" si="22"/>
        <v>7.4065000000000008E-3</v>
      </c>
      <c r="X71" t="str">
        <f t="shared" si="23"/>
        <v/>
      </c>
      <c r="Y71" t="str">
        <f>VLOOKUP($A71,Runs!$G:$G,1,FALSE)</f>
        <v>Protect the Secret</v>
      </c>
    </row>
    <row r="72" spans="1:25" ht="22.5" customHeight="1" x14ac:dyDescent="0.25">
      <c r="A72" s="2" t="s">
        <v>543</v>
      </c>
      <c r="B72" s="2" t="s">
        <v>544</v>
      </c>
      <c r="C72" s="3">
        <v>7.0000000000000001E-3</v>
      </c>
      <c r="D72" s="6" t="s">
        <v>434</v>
      </c>
      <c r="E72">
        <f>(30-C72*100)*VLOOKUP($D72,Calc!$A$1:$C$6,3,FALSE)</f>
        <v>146.5</v>
      </c>
      <c r="F72" s="6">
        <f>VLOOKUP(D72,Calc!$A$1:$B$6,2,FALSE)</f>
        <v>4</v>
      </c>
      <c r="G72" s="10">
        <f t="shared" si="12"/>
        <v>7.4000000000000003E-3</v>
      </c>
      <c r="H72" s="9">
        <f t="shared" si="13"/>
        <v>1.11E-4</v>
      </c>
      <c r="I72" s="10">
        <f t="shared" si="14"/>
        <v>7.4111000000000003E-3</v>
      </c>
      <c r="J72" s="10" t="str">
        <f t="shared" si="15"/>
        <v/>
      </c>
      <c r="K72" s="10">
        <f t="shared" si="16"/>
        <v>7.4111000000000003E-3</v>
      </c>
      <c r="L72" s="9">
        <f t="shared" si="17"/>
        <v>3.9925888999999999</v>
      </c>
      <c r="M72" s="9" t="str">
        <f t="shared" si="18"/>
        <v/>
      </c>
      <c r="N72" s="9">
        <f t="shared" si="19"/>
        <v>3.9925888999999999</v>
      </c>
      <c r="O72" s="4"/>
      <c r="Q72" s="7" t="s">
        <v>1497</v>
      </c>
      <c r="R72" s="8" t="s">
        <v>1498</v>
      </c>
      <c r="S72" s="7"/>
      <c r="T72" s="7"/>
      <c r="U72" t="str">
        <f t="shared" si="20"/>
        <v/>
      </c>
      <c r="V72" t="str">
        <f t="shared" si="21"/>
        <v/>
      </c>
      <c r="W72">
        <f t="shared" si="22"/>
        <v>7.4111000000000003E-3</v>
      </c>
      <c r="X72" t="str">
        <f t="shared" si="23"/>
        <v/>
      </c>
      <c r="Y72" t="str">
        <f>VLOOKUP($A72,Runs!$G:$G,1,FALSE)</f>
        <v>Foremost Servitor of Jagannath</v>
      </c>
    </row>
    <row r="73" spans="1:25" ht="22.5" customHeight="1" x14ac:dyDescent="0.25">
      <c r="A73" s="2" t="s">
        <v>437</v>
      </c>
      <c r="B73" s="2" t="s">
        <v>438</v>
      </c>
      <c r="C73" s="3">
        <v>7.0000000000000001E-3</v>
      </c>
      <c r="D73" s="6" t="s">
        <v>434</v>
      </c>
      <c r="E73">
        <f>(30-C73*100)*VLOOKUP($D73,Calc!$A$1:$C$6,3,FALSE)</f>
        <v>146.5</v>
      </c>
      <c r="F73" s="6">
        <f>VLOOKUP(D73,Calc!$A$1:$B$6,2,FALSE)</f>
        <v>4</v>
      </c>
      <c r="G73" s="10">
        <f t="shared" si="12"/>
        <v>7.4000000000000003E-3</v>
      </c>
      <c r="H73" s="9">
        <f t="shared" si="13"/>
        <v>6.9999999999999994E-5</v>
      </c>
      <c r="I73" s="10">
        <f t="shared" si="14"/>
        <v>7.4070000000000004E-3</v>
      </c>
      <c r="J73" s="10" t="str">
        <f t="shared" si="15"/>
        <v/>
      </c>
      <c r="K73" s="10">
        <f t="shared" si="16"/>
        <v>7.4070000000000004E-3</v>
      </c>
      <c r="L73" s="9">
        <f t="shared" si="17"/>
        <v>3.9925929999999998</v>
      </c>
      <c r="M73" s="9" t="str">
        <f t="shared" si="18"/>
        <v/>
      </c>
      <c r="N73" s="9">
        <f t="shared" si="19"/>
        <v>3.9925929999999998</v>
      </c>
      <c r="O73" s="4"/>
      <c r="Q73" s="7"/>
      <c r="R73" s="7" t="s">
        <v>1082</v>
      </c>
      <c r="S73" s="8" t="s">
        <v>1083</v>
      </c>
      <c r="T73" s="7"/>
      <c r="U73" t="str">
        <f t="shared" si="20"/>
        <v/>
      </c>
      <c r="V73" t="str">
        <f t="shared" si="21"/>
        <v/>
      </c>
      <c r="W73">
        <f t="shared" si="22"/>
        <v>7.4070000000000004E-3</v>
      </c>
      <c r="X73" t="str">
        <f t="shared" si="23"/>
        <v/>
      </c>
      <c r="Y73" t="str">
        <f>VLOOKUP($A73,Runs!$G:$G,1,FALSE)</f>
        <v>Core-fu</v>
      </c>
    </row>
    <row r="74" spans="1:25" ht="22.5" customHeight="1" x14ac:dyDescent="0.25">
      <c r="A74" s="2" t="s">
        <v>461</v>
      </c>
      <c r="B74" s="2" t="s">
        <v>462</v>
      </c>
      <c r="C74" s="3">
        <v>7.0000000000000001E-3</v>
      </c>
      <c r="D74" s="6" t="s">
        <v>434</v>
      </c>
      <c r="E74">
        <f>(30-C74*100)*VLOOKUP($D74,Calc!$A$1:$C$6,3,FALSE)</f>
        <v>146.5</v>
      </c>
      <c r="F74" s="6">
        <f>VLOOKUP(D74,Calc!$A$1:$B$6,2,FALSE)</f>
        <v>4</v>
      </c>
      <c r="G74" s="10">
        <f t="shared" si="12"/>
        <v>7.4000000000000003E-3</v>
      </c>
      <c r="H74" s="9">
        <f t="shared" si="13"/>
        <v>6.2000000000000003E-5</v>
      </c>
      <c r="I74" s="10">
        <f t="shared" si="14"/>
        <v>7.4061999999999999E-3</v>
      </c>
      <c r="J74" s="10" t="str">
        <f t="shared" si="15"/>
        <v/>
      </c>
      <c r="K74" s="10">
        <f t="shared" si="16"/>
        <v>7.4061999999999999E-3</v>
      </c>
      <c r="L74" s="9">
        <f t="shared" si="17"/>
        <v>3.9925937999999999</v>
      </c>
      <c r="M74" s="9" t="str">
        <f t="shared" si="18"/>
        <v/>
      </c>
      <c r="N74" s="9">
        <f t="shared" si="19"/>
        <v>3.9925937999999999</v>
      </c>
      <c r="O74" s="4"/>
      <c r="Q74" s="7" t="s">
        <v>1316</v>
      </c>
      <c r="R74" s="7" t="s">
        <v>1317</v>
      </c>
      <c r="S74" s="8" t="s">
        <v>1318</v>
      </c>
      <c r="T74" s="7"/>
      <c r="U74" t="str">
        <f t="shared" si="20"/>
        <v/>
      </c>
      <c r="V74" t="str">
        <f t="shared" si="21"/>
        <v/>
      </c>
      <c r="W74">
        <f t="shared" si="22"/>
        <v>7.4061999999999999E-3</v>
      </c>
      <c r="X74" t="str">
        <f t="shared" si="23"/>
        <v/>
      </c>
      <c r="Y74" t="str">
        <f>VLOOKUP($A74,Runs!$G:$G,1,FALSE)</f>
        <v>Bunte Kuh</v>
      </c>
    </row>
    <row r="75" spans="1:25" ht="22.5" customHeight="1" x14ac:dyDescent="0.25">
      <c r="A75" s="2" t="s">
        <v>535</v>
      </c>
      <c r="B75" s="2" t="s">
        <v>536</v>
      </c>
      <c r="C75" s="3">
        <v>7.0000000000000001E-3</v>
      </c>
      <c r="D75" s="6" t="s">
        <v>434</v>
      </c>
      <c r="E75">
        <f>(30-C75*100)*VLOOKUP($D75,Calc!$A$1:$C$6,3,FALSE)</f>
        <v>146.5</v>
      </c>
      <c r="F75" s="6">
        <f>VLOOKUP(D75,Calc!$A$1:$B$6,2,FALSE)</f>
        <v>4</v>
      </c>
      <c r="G75" s="10">
        <f t="shared" si="12"/>
        <v>7.4000000000000003E-3</v>
      </c>
      <c r="H75" s="9">
        <f t="shared" si="13"/>
        <v>3.0000000000000001E-5</v>
      </c>
      <c r="I75" s="10">
        <f t="shared" si="14"/>
        <v>7.4030000000000007E-3</v>
      </c>
      <c r="J75" s="10" t="str">
        <f t="shared" si="15"/>
        <v/>
      </c>
      <c r="K75" s="10">
        <f t="shared" si="16"/>
        <v>7.4030000000000007E-3</v>
      </c>
      <c r="L75" s="9">
        <f t="shared" si="17"/>
        <v>3.992597</v>
      </c>
      <c r="M75" s="9" t="str">
        <f t="shared" si="18"/>
        <v/>
      </c>
      <c r="N75" s="9">
        <f t="shared" si="19"/>
        <v>3.992597</v>
      </c>
      <c r="O75" s="4"/>
      <c r="Q75" s="7" t="s">
        <v>1477</v>
      </c>
      <c r="R75" s="8" t="s">
        <v>1478</v>
      </c>
      <c r="S75" s="7"/>
      <c r="T75" s="7"/>
      <c r="U75" t="str">
        <f t="shared" si="20"/>
        <v/>
      </c>
      <c r="V75" t="str">
        <f t="shared" si="21"/>
        <v/>
      </c>
      <c r="W75">
        <f t="shared" si="22"/>
        <v>7.4030000000000007E-3</v>
      </c>
      <c r="X75" t="str">
        <f t="shared" si="23"/>
        <v/>
      </c>
      <c r="Y75" t="str">
        <f>VLOOKUP($A75,Runs!$G:$G,1,FALSE)</f>
        <v>Avar Khaganate</v>
      </c>
    </row>
    <row r="76" spans="1:25" ht="22.5" customHeight="1" x14ac:dyDescent="0.25">
      <c r="A76" s="2" t="s">
        <v>355</v>
      </c>
      <c r="B76" s="2" t="s">
        <v>356</v>
      </c>
      <c r="C76" s="3">
        <v>7.0000000000000001E-3</v>
      </c>
      <c r="D76" s="6" t="s">
        <v>242</v>
      </c>
      <c r="E76">
        <f>(30-C76*100)*VLOOKUP($D76,Calc!$A$1:$C$6,3,FALSE)</f>
        <v>73.25</v>
      </c>
      <c r="F76" s="6">
        <f>VLOOKUP(D76,Calc!$A$1:$B$6,2,FALSE)</f>
        <v>3</v>
      </c>
      <c r="G76" s="10">
        <f t="shared" si="12"/>
        <v>7.3000000000000001E-3</v>
      </c>
      <c r="H76" s="9">
        <f t="shared" si="13"/>
        <v>2.5999999999999998E-5</v>
      </c>
      <c r="I76" s="10">
        <f t="shared" si="14"/>
        <v>7.3026000000000002E-3</v>
      </c>
      <c r="J76" s="10">
        <f t="shared" si="15"/>
        <v>7.3026000000000002E-3</v>
      </c>
      <c r="K76" s="10" t="str">
        <f t="shared" si="16"/>
        <v/>
      </c>
      <c r="L76" s="9">
        <f t="shared" si="17"/>
        <v>2.9926974</v>
      </c>
      <c r="M76" s="9">
        <f t="shared" si="18"/>
        <v>2.9926974</v>
      </c>
      <c r="N76" s="9" t="str">
        <f t="shared" si="19"/>
        <v/>
      </c>
      <c r="O76" s="4" t="s">
        <v>755</v>
      </c>
      <c r="P76" s="1" t="s">
        <v>1694</v>
      </c>
      <c r="Q76" s="7" t="s">
        <v>1219</v>
      </c>
      <c r="R76" s="7" t="s">
        <v>1220</v>
      </c>
      <c r="S76" s="8" t="s">
        <v>1221</v>
      </c>
      <c r="T76" s="7"/>
      <c r="U76" t="str">
        <f t="shared" si="20"/>
        <v/>
      </c>
      <c r="V76" t="str">
        <f t="shared" si="21"/>
        <v/>
      </c>
      <c r="W76" t="str">
        <f t="shared" si="22"/>
        <v/>
      </c>
      <c r="X76" t="str">
        <f t="shared" si="23"/>
        <v/>
      </c>
      <c r="Y76" t="e">
        <f>VLOOKUP($A76,Runs!$G:$G,1,FALSE)</f>
        <v>#N/A</v>
      </c>
    </row>
    <row r="77" spans="1:25" ht="22.5" customHeight="1" x14ac:dyDescent="0.25">
      <c r="A77" s="2" t="s">
        <v>309</v>
      </c>
      <c r="B77" s="2" t="s">
        <v>688</v>
      </c>
      <c r="C77" s="3">
        <v>7.0000000000000001E-3</v>
      </c>
      <c r="D77" s="6" t="s">
        <v>242</v>
      </c>
      <c r="E77">
        <f>(30-C77*100)*VLOOKUP($D77,Calc!$A$1:$C$6,3,FALSE)</f>
        <v>73.25</v>
      </c>
      <c r="F77" s="6">
        <f>VLOOKUP(D77,Calc!$A$1:$B$6,2,FALSE)</f>
        <v>3</v>
      </c>
      <c r="G77" s="10">
        <f t="shared" si="12"/>
        <v>7.3000000000000001E-3</v>
      </c>
      <c r="H77" s="9">
        <f t="shared" si="13"/>
        <v>2.9E-5</v>
      </c>
      <c r="I77" s="10">
        <f t="shared" si="14"/>
        <v>7.3029000000000002E-3</v>
      </c>
      <c r="J77" s="10" t="str">
        <f t="shared" si="15"/>
        <v/>
      </c>
      <c r="K77" s="10">
        <f t="shared" si="16"/>
        <v>7.3029000000000002E-3</v>
      </c>
      <c r="L77" s="9">
        <f t="shared" si="17"/>
        <v>2.9926971</v>
      </c>
      <c r="M77" s="9" t="str">
        <f t="shared" si="18"/>
        <v/>
      </c>
      <c r="N77" s="9">
        <f t="shared" si="19"/>
        <v>2.9926971</v>
      </c>
      <c r="O77" s="4"/>
      <c r="Q77" s="7" t="s">
        <v>1139</v>
      </c>
      <c r="R77" s="7" t="s">
        <v>1140</v>
      </c>
      <c r="S77" s="8" t="s">
        <v>1141</v>
      </c>
      <c r="T77" s="7"/>
      <c r="U77" t="str">
        <f t="shared" si="20"/>
        <v/>
      </c>
      <c r="V77">
        <f t="shared" si="21"/>
        <v>7.3029000000000002E-3</v>
      </c>
      <c r="W77" t="str">
        <f t="shared" si="22"/>
        <v/>
      </c>
      <c r="X77" t="str">
        <f t="shared" si="23"/>
        <v/>
      </c>
      <c r="Y77" t="str">
        <f>VLOOKUP($A77,Runs!$G:$G,1,FALSE)</f>
        <v>Kuban Cigars</v>
      </c>
    </row>
    <row r="78" spans="1:25" ht="22.5" customHeight="1" x14ac:dyDescent="0.25">
      <c r="A78" s="2" t="s">
        <v>283</v>
      </c>
      <c r="B78" s="2" t="s">
        <v>284</v>
      </c>
      <c r="C78" s="3">
        <v>7.0000000000000001E-3</v>
      </c>
      <c r="D78" s="6" t="s">
        <v>242</v>
      </c>
      <c r="E78">
        <f>(30-C78*100)*VLOOKUP($D78,Calc!$A$1:$C$6,3,FALSE)</f>
        <v>73.25</v>
      </c>
      <c r="F78" s="6">
        <f>VLOOKUP(D78,Calc!$A$1:$B$6,2,FALSE)</f>
        <v>3</v>
      </c>
      <c r="G78" s="10">
        <f t="shared" si="12"/>
        <v>7.3000000000000001E-3</v>
      </c>
      <c r="H78" s="9">
        <f t="shared" si="13"/>
        <v>3.1999999999999999E-5</v>
      </c>
      <c r="I78" s="10">
        <f t="shared" si="14"/>
        <v>7.3032000000000001E-3</v>
      </c>
      <c r="J78" s="10" t="str">
        <f t="shared" si="15"/>
        <v/>
      </c>
      <c r="K78" s="10">
        <f t="shared" si="16"/>
        <v>7.3032000000000001E-3</v>
      </c>
      <c r="L78" s="9">
        <f t="shared" si="17"/>
        <v>2.9926968</v>
      </c>
      <c r="M78" s="9" t="str">
        <f t="shared" si="18"/>
        <v/>
      </c>
      <c r="N78" s="9">
        <f t="shared" si="19"/>
        <v>2.9926968</v>
      </c>
      <c r="O78" s="4"/>
      <c r="Q78" s="7" t="s">
        <v>1100</v>
      </c>
      <c r="R78" s="7" t="s">
        <v>1101</v>
      </c>
      <c r="S78" s="8" t="s">
        <v>1102</v>
      </c>
      <c r="T78" s="7"/>
      <c r="U78" t="str">
        <f t="shared" si="20"/>
        <v/>
      </c>
      <c r="V78">
        <f t="shared" si="21"/>
        <v>7.3032000000000001E-3</v>
      </c>
      <c r="W78" t="str">
        <f t="shared" si="22"/>
        <v/>
      </c>
      <c r="X78" t="str">
        <f t="shared" si="23"/>
        <v/>
      </c>
      <c r="Y78" t="str">
        <f>VLOOKUP($A78,Runs!$G:$G,1,FALSE)</f>
        <v>Ganges Khan</v>
      </c>
    </row>
    <row r="79" spans="1:25" ht="22.5" customHeight="1" x14ac:dyDescent="0.25">
      <c r="A79" s="2" t="s">
        <v>386</v>
      </c>
      <c r="B79" s="2" t="s">
        <v>650</v>
      </c>
      <c r="C79" s="3">
        <v>7.0000000000000001E-3</v>
      </c>
      <c r="D79" s="6" t="s">
        <v>242</v>
      </c>
      <c r="E79">
        <f>(30-C79*100)*VLOOKUP($D79,Calc!$A$1:$C$6,3,FALSE)</f>
        <v>73.25</v>
      </c>
      <c r="F79" s="6">
        <f>VLOOKUP(D79,Calc!$A$1:$B$6,2,FALSE)</f>
        <v>3</v>
      </c>
      <c r="G79" s="10">
        <f t="shared" si="12"/>
        <v>7.3000000000000001E-3</v>
      </c>
      <c r="H79" s="9">
        <f t="shared" si="13"/>
        <v>7.1000000000000005E-5</v>
      </c>
      <c r="I79" s="10">
        <f t="shared" si="14"/>
        <v>7.3071000000000004E-3</v>
      </c>
      <c r="J79" s="10">
        <f t="shared" si="15"/>
        <v>7.3071000000000004E-3</v>
      </c>
      <c r="K79" s="10" t="str">
        <f t="shared" si="16"/>
        <v/>
      </c>
      <c r="L79" s="9">
        <f t="shared" si="17"/>
        <v>2.9926929000000002</v>
      </c>
      <c r="M79" s="9">
        <f t="shared" si="18"/>
        <v>2.9926929000000002</v>
      </c>
      <c r="N79" s="9" t="str">
        <f t="shared" si="19"/>
        <v/>
      </c>
      <c r="O79" s="4" t="s">
        <v>755</v>
      </c>
      <c r="P79" s="1" t="s">
        <v>1684</v>
      </c>
      <c r="Q79" s="7"/>
      <c r="R79" s="7" t="s">
        <v>1272</v>
      </c>
      <c r="S79" s="8" t="s">
        <v>1273</v>
      </c>
      <c r="T79" s="7"/>
      <c r="U79" t="str">
        <f t="shared" si="20"/>
        <v/>
      </c>
      <c r="V79" t="str">
        <f t="shared" si="21"/>
        <v/>
      </c>
      <c r="W79" t="str">
        <f t="shared" si="22"/>
        <v/>
      </c>
      <c r="X79" t="str">
        <f t="shared" si="23"/>
        <v/>
      </c>
      <c r="Y79" t="str">
        <f>VLOOKUP($A79,Runs!$G:$G,1,FALSE)</f>
        <v>Brentry!</v>
      </c>
    </row>
    <row r="80" spans="1:25" ht="22.5" customHeight="1" x14ac:dyDescent="0.25">
      <c r="A80" s="2" t="s">
        <v>397</v>
      </c>
      <c r="B80" s="2" t="s">
        <v>645</v>
      </c>
      <c r="C80" s="3">
        <v>7.0000000000000001E-3</v>
      </c>
      <c r="D80" s="6" t="s">
        <v>242</v>
      </c>
      <c r="E80">
        <f>(30-C80*100)*VLOOKUP($D80,Calc!$A$1:$C$6,3,FALSE)</f>
        <v>73.25</v>
      </c>
      <c r="F80" s="6">
        <f>VLOOKUP(D80,Calc!$A$1:$B$6,2,FALSE)</f>
        <v>3</v>
      </c>
      <c r="G80" s="10">
        <f t="shared" si="12"/>
        <v>7.3000000000000001E-3</v>
      </c>
      <c r="H80" s="9">
        <f t="shared" si="13"/>
        <v>9.6000000000000002E-5</v>
      </c>
      <c r="I80" s="10">
        <f t="shared" si="14"/>
        <v>7.3096000000000003E-3</v>
      </c>
      <c r="J80" s="10">
        <f t="shared" si="15"/>
        <v>7.3096000000000003E-3</v>
      </c>
      <c r="K80" s="10" t="str">
        <f t="shared" si="16"/>
        <v/>
      </c>
      <c r="L80" s="9">
        <f t="shared" si="17"/>
        <v>2.9926903999999999</v>
      </c>
      <c r="M80" s="9">
        <f t="shared" si="18"/>
        <v>2.9926903999999999</v>
      </c>
      <c r="N80" s="9" t="str">
        <f t="shared" si="19"/>
        <v/>
      </c>
      <c r="O80" s="4" t="s">
        <v>755</v>
      </c>
      <c r="P80" s="1" t="s">
        <v>1667</v>
      </c>
      <c r="Q80" s="7"/>
      <c r="R80" s="7" t="s">
        <v>1301</v>
      </c>
      <c r="S80" s="8" t="s">
        <v>1302</v>
      </c>
      <c r="T80" s="7"/>
      <c r="U80" t="str">
        <f t="shared" si="20"/>
        <v/>
      </c>
      <c r="V80" t="str">
        <f t="shared" si="21"/>
        <v/>
      </c>
      <c r="W80" t="str">
        <f t="shared" si="22"/>
        <v/>
      </c>
      <c r="X80" t="str">
        <f t="shared" si="23"/>
        <v/>
      </c>
      <c r="Y80" t="e">
        <f>VLOOKUP($A80,Runs!$G:$G,1,FALSE)</f>
        <v>#N/A</v>
      </c>
    </row>
    <row r="81" spans="1:25" ht="22.5" customHeight="1" x14ac:dyDescent="0.25">
      <c r="A81" s="2" t="s">
        <v>103</v>
      </c>
      <c r="B81" s="2" t="s">
        <v>744</v>
      </c>
      <c r="C81" s="3">
        <v>7.0000000000000001E-3</v>
      </c>
      <c r="D81" s="6" t="s">
        <v>2</v>
      </c>
      <c r="E81">
        <f>(30-C81*100)*VLOOKUP($D81,Calc!$A$1:$C$6,3,FALSE)</f>
        <v>14.65</v>
      </c>
      <c r="F81" s="6">
        <f>VLOOKUP(D81,Calc!$A$1:$B$6,2,FALSE)</f>
        <v>1</v>
      </c>
      <c r="G81" s="10">
        <f t="shared" si="12"/>
        <v>7.1000000000000004E-3</v>
      </c>
      <c r="H81" s="9">
        <f t="shared" si="13"/>
        <v>8.6000000000000003E-5</v>
      </c>
      <c r="I81" s="10">
        <f t="shared" si="14"/>
        <v>7.1086000000000005E-3</v>
      </c>
      <c r="J81" s="10" t="str">
        <f t="shared" si="15"/>
        <v/>
      </c>
      <c r="K81" s="10">
        <f t="shared" si="16"/>
        <v>7.1086000000000005E-3</v>
      </c>
      <c r="L81" s="9">
        <f t="shared" si="17"/>
        <v>0.99289139999999998</v>
      </c>
      <c r="M81" s="9" t="str">
        <f t="shared" si="18"/>
        <v/>
      </c>
      <c r="N81" s="9">
        <f t="shared" si="19"/>
        <v>0.99289139999999998</v>
      </c>
      <c r="O81" s="4"/>
      <c r="Q81" s="7" t="s">
        <v>1604</v>
      </c>
      <c r="R81" s="7" t="s">
        <v>1605</v>
      </c>
      <c r="S81" s="8" t="s">
        <v>1606</v>
      </c>
      <c r="T81" s="7"/>
      <c r="U81" t="str">
        <f t="shared" si="20"/>
        <v/>
      </c>
      <c r="V81" t="str">
        <f t="shared" si="21"/>
        <v/>
      </c>
      <c r="W81" t="str">
        <f t="shared" si="22"/>
        <v/>
      </c>
      <c r="X81">
        <f t="shared" si="23"/>
        <v>7.1086000000000005E-3</v>
      </c>
      <c r="Y81" t="str">
        <f>VLOOKUP($A81,Runs!$G:$G,1,FALSE)</f>
        <v>Truly Good Maaaaa-tch</v>
      </c>
    </row>
    <row r="82" spans="1:25" ht="22.5" customHeight="1" x14ac:dyDescent="0.25">
      <c r="A82" s="2" t="s">
        <v>614</v>
      </c>
      <c r="B82" s="2" t="s">
        <v>615</v>
      </c>
      <c r="C82" s="3">
        <v>7.0000000000000001E-3</v>
      </c>
      <c r="D82" s="6" t="s">
        <v>573</v>
      </c>
      <c r="E82">
        <f>(30-C82*100)*VLOOKUP($D82,Calc!$A$1:$C$6,3,FALSE)</f>
        <v>293</v>
      </c>
      <c r="F82" s="6">
        <f>VLOOKUP(D82,Calc!$A$1:$B$6,2,FALSE)</f>
        <v>5</v>
      </c>
      <c r="G82" s="10">
        <f t="shared" si="12"/>
        <v>7.4999999999999997E-3</v>
      </c>
      <c r="H82" s="9">
        <f t="shared" si="13"/>
        <v>5.5000000000000002E-5</v>
      </c>
      <c r="I82" s="10">
        <f t="shared" si="14"/>
        <v>7.5055E-3</v>
      </c>
      <c r="J82" s="10">
        <f t="shared" si="15"/>
        <v>7.5055E-3</v>
      </c>
      <c r="K82" s="10" t="str">
        <f t="shared" si="16"/>
        <v/>
      </c>
      <c r="L82" s="9">
        <f t="shared" si="17"/>
        <v>4.9924945000000003</v>
      </c>
      <c r="M82" s="9">
        <f t="shared" si="18"/>
        <v>4.9924945000000003</v>
      </c>
      <c r="N82" s="9" t="str">
        <f t="shared" si="19"/>
        <v/>
      </c>
      <c r="O82" s="4" t="s">
        <v>755</v>
      </c>
      <c r="P82" s="1" t="s">
        <v>1699</v>
      </c>
      <c r="Q82" s="7" t="s">
        <v>1570</v>
      </c>
      <c r="R82" s="7" t="s">
        <v>1571</v>
      </c>
      <c r="S82" s="8" t="s">
        <v>1572</v>
      </c>
      <c r="T82" s="7"/>
      <c r="U82" t="str">
        <f t="shared" si="20"/>
        <v/>
      </c>
      <c r="V82" t="str">
        <f t="shared" si="21"/>
        <v/>
      </c>
      <c r="W82" t="str">
        <f t="shared" si="22"/>
        <v/>
      </c>
      <c r="X82" t="str">
        <f t="shared" si="23"/>
        <v/>
      </c>
      <c r="Y82" t="e">
        <f>VLOOKUP($A82,Runs!$G:$G,1,FALSE)</f>
        <v>#N/A</v>
      </c>
    </row>
    <row r="83" spans="1:25" ht="22.5" customHeight="1" x14ac:dyDescent="0.25">
      <c r="A83" s="2" t="s">
        <v>608</v>
      </c>
      <c r="B83" s="2" t="s">
        <v>609</v>
      </c>
      <c r="C83" s="3">
        <v>7.0000000000000001E-3</v>
      </c>
      <c r="D83" s="6" t="s">
        <v>573</v>
      </c>
      <c r="E83">
        <f>(30-C83*100)*VLOOKUP($D83,Calc!$A$1:$C$6,3,FALSE)</f>
        <v>293</v>
      </c>
      <c r="F83" s="6">
        <f>VLOOKUP(D83,Calc!$A$1:$B$6,2,FALSE)</f>
        <v>5</v>
      </c>
      <c r="G83" s="10">
        <f t="shared" si="12"/>
        <v>7.4999999999999997E-3</v>
      </c>
      <c r="H83" s="9">
        <f t="shared" si="13"/>
        <v>5.3999999999999998E-5</v>
      </c>
      <c r="I83" s="10">
        <f t="shared" si="14"/>
        <v>7.5053999999999997E-3</v>
      </c>
      <c r="J83" s="10" t="str">
        <f t="shared" si="15"/>
        <v/>
      </c>
      <c r="K83" s="10">
        <f t="shared" si="16"/>
        <v>7.5053999999999997E-3</v>
      </c>
      <c r="L83" s="9">
        <f t="shared" si="17"/>
        <v>4.9924945999999997</v>
      </c>
      <c r="M83" s="9" t="str">
        <f t="shared" si="18"/>
        <v/>
      </c>
      <c r="N83" s="9">
        <f t="shared" si="19"/>
        <v>4.9924945999999997</v>
      </c>
      <c r="O83" s="4"/>
      <c r="Q83" s="7" t="s">
        <v>1542</v>
      </c>
      <c r="R83" s="7" t="s">
        <v>1543</v>
      </c>
      <c r="S83" s="2" t="s">
        <v>1544</v>
      </c>
      <c r="T83" s="7"/>
      <c r="U83" t="str">
        <f t="shared" si="20"/>
        <v/>
      </c>
      <c r="V83" t="str">
        <f t="shared" si="21"/>
        <v/>
      </c>
      <c r="W83" t="str">
        <f t="shared" si="22"/>
        <v/>
      </c>
      <c r="X83" t="str">
        <f t="shared" si="23"/>
        <v/>
      </c>
      <c r="Y83" t="str">
        <f>VLOOKUP($A83,Runs!$G:$G,1,FALSE)</f>
        <v>Spanish Fly</v>
      </c>
    </row>
    <row r="84" spans="1:25" ht="22.5" customHeight="1" x14ac:dyDescent="0.25">
      <c r="A84" s="2" t="s">
        <v>591</v>
      </c>
      <c r="B84" s="2" t="s">
        <v>675</v>
      </c>
      <c r="C84" s="3">
        <v>7.0000000000000001E-3</v>
      </c>
      <c r="D84" s="6" t="s">
        <v>573</v>
      </c>
      <c r="E84">
        <f>(30-C84*100)*VLOOKUP($D84,Calc!$A$1:$C$6,3,FALSE)</f>
        <v>293</v>
      </c>
      <c r="F84" s="6">
        <f>VLOOKUP(D84,Calc!$A$1:$B$6,2,FALSE)</f>
        <v>5</v>
      </c>
      <c r="G84" s="10">
        <f t="shared" si="12"/>
        <v>7.4999999999999997E-3</v>
      </c>
      <c r="H84" s="9">
        <f t="shared" si="13"/>
        <v>4.0000000000000003E-5</v>
      </c>
      <c r="I84" s="10">
        <f t="shared" si="14"/>
        <v>7.5039999999999994E-3</v>
      </c>
      <c r="J84" s="10" t="str">
        <f t="shared" si="15"/>
        <v/>
      </c>
      <c r="K84" s="10">
        <f t="shared" si="16"/>
        <v>7.5039999999999994E-3</v>
      </c>
      <c r="L84" s="9">
        <f t="shared" si="17"/>
        <v>4.992496</v>
      </c>
      <c r="M84" s="9" t="str">
        <f t="shared" si="18"/>
        <v/>
      </c>
      <c r="N84" s="9">
        <f t="shared" si="19"/>
        <v>4.992496</v>
      </c>
      <c r="O84" s="4"/>
      <c r="Q84" s="7" t="s">
        <v>1505</v>
      </c>
      <c r="R84" s="8" t="s">
        <v>1506</v>
      </c>
      <c r="S84" s="7"/>
      <c r="T84" s="7"/>
      <c r="U84" t="str">
        <f t="shared" si="20"/>
        <v/>
      </c>
      <c r="V84" t="str">
        <f t="shared" si="21"/>
        <v/>
      </c>
      <c r="W84" t="str">
        <f t="shared" si="22"/>
        <v/>
      </c>
      <c r="X84" t="str">
        <f t="shared" si="23"/>
        <v/>
      </c>
      <c r="Y84" t="str">
        <f>VLOOKUP($A84,Runs!$G:$G,1,FALSE)</f>
        <v>Great Perm</v>
      </c>
    </row>
    <row r="85" spans="1:25" ht="22.5" customHeight="1" x14ac:dyDescent="0.25">
      <c r="A85" s="2" t="s">
        <v>584</v>
      </c>
      <c r="B85" s="2" t="s">
        <v>648</v>
      </c>
      <c r="C85" s="3">
        <v>7.0000000000000001E-3</v>
      </c>
      <c r="D85" s="6" t="s">
        <v>573</v>
      </c>
      <c r="E85">
        <f>(30-C85*100)*VLOOKUP($D85,Calc!$A$1:$C$6,3,FALSE)</f>
        <v>293</v>
      </c>
      <c r="F85" s="6">
        <f>VLOOKUP(D85,Calc!$A$1:$B$6,2,FALSE)</f>
        <v>5</v>
      </c>
      <c r="G85" s="10">
        <f t="shared" si="12"/>
        <v>7.4999999999999997E-3</v>
      </c>
      <c r="H85" s="9">
        <f t="shared" si="13"/>
        <v>4.1999999999999998E-5</v>
      </c>
      <c r="I85" s="10">
        <f t="shared" si="14"/>
        <v>7.5041999999999999E-3</v>
      </c>
      <c r="J85" s="10">
        <f t="shared" si="15"/>
        <v>7.5041999999999999E-3</v>
      </c>
      <c r="K85" s="10" t="str">
        <f t="shared" si="16"/>
        <v/>
      </c>
      <c r="L85" s="9">
        <f t="shared" si="17"/>
        <v>4.9924958000000004</v>
      </c>
      <c r="M85" s="9">
        <f t="shared" si="18"/>
        <v>4.9924958000000004</v>
      </c>
      <c r="N85" s="9" t="str">
        <f t="shared" si="19"/>
        <v/>
      </c>
      <c r="O85" s="4" t="s">
        <v>755</v>
      </c>
      <c r="P85" s="1" t="s">
        <v>1692</v>
      </c>
      <c r="Q85" s="7" t="s">
        <v>1481</v>
      </c>
      <c r="R85" s="8" t="s">
        <v>1482</v>
      </c>
      <c r="S85" s="7"/>
      <c r="T85" s="7"/>
      <c r="U85" t="str">
        <f t="shared" si="20"/>
        <v/>
      </c>
      <c r="V85" t="str">
        <f t="shared" si="21"/>
        <v/>
      </c>
      <c r="W85" t="str">
        <f t="shared" si="22"/>
        <v/>
      </c>
      <c r="X85" t="str">
        <f t="shared" si="23"/>
        <v/>
      </c>
      <c r="Y85" t="e">
        <f>VLOOKUP($A85,Runs!$G:$G,1,FALSE)</f>
        <v>#N/A</v>
      </c>
    </row>
    <row r="86" spans="1:25" ht="22.5" customHeight="1" x14ac:dyDescent="0.25">
      <c r="A86" s="2" t="s">
        <v>139</v>
      </c>
      <c r="B86" s="2" t="s">
        <v>140</v>
      </c>
      <c r="C86" s="3">
        <v>8.0000000000000002E-3</v>
      </c>
      <c r="D86" s="6" t="s">
        <v>105</v>
      </c>
      <c r="E86">
        <f>(30-C86*100)*VLOOKUP($D86,Calc!$A$1:$C$6,3,FALSE)</f>
        <v>29.2</v>
      </c>
      <c r="F86" s="6">
        <f>VLOOKUP(D86,Calc!$A$1:$B$6,2,FALSE)</f>
        <v>2</v>
      </c>
      <c r="G86" s="10">
        <f t="shared" si="12"/>
        <v>8.2000000000000007E-3</v>
      </c>
      <c r="H86" s="9">
        <f t="shared" si="13"/>
        <v>5.0000000000000002E-5</v>
      </c>
      <c r="I86" s="10">
        <f t="shared" si="14"/>
        <v>8.2050000000000005E-3</v>
      </c>
      <c r="J86" s="10" t="str">
        <f t="shared" si="15"/>
        <v/>
      </c>
      <c r="K86" s="10">
        <f t="shared" si="16"/>
        <v>8.2050000000000005E-3</v>
      </c>
      <c r="L86" s="9">
        <f t="shared" si="17"/>
        <v>1.991795</v>
      </c>
      <c r="M86" s="9" t="str">
        <f t="shared" si="18"/>
        <v/>
      </c>
      <c r="N86" s="9">
        <f t="shared" si="19"/>
        <v>1.991795</v>
      </c>
      <c r="O86" s="4"/>
      <c r="Q86" s="7" t="s">
        <v>927</v>
      </c>
      <c r="R86" s="7" t="s">
        <v>928</v>
      </c>
      <c r="S86" s="8" t="s">
        <v>929</v>
      </c>
      <c r="T86" s="7"/>
      <c r="U86">
        <f t="shared" si="20"/>
        <v>8.2050000000000005E-3</v>
      </c>
      <c r="V86" t="str">
        <f t="shared" si="21"/>
        <v/>
      </c>
      <c r="W86" t="str">
        <f t="shared" si="22"/>
        <v/>
      </c>
      <c r="X86" t="str">
        <f t="shared" si="23"/>
        <v/>
      </c>
      <c r="Y86" t="str">
        <f>VLOOKUP($A86,Runs!$G:$G,1,FALSE)</f>
        <v>Forgive me, for I have Sindh</v>
      </c>
    </row>
    <row r="87" spans="1:25" ht="22.5" customHeight="1" x14ac:dyDescent="0.25">
      <c r="A87" s="2" t="s">
        <v>509</v>
      </c>
      <c r="B87" s="2" t="s">
        <v>510</v>
      </c>
      <c r="C87" s="3">
        <v>8.0000000000000002E-3</v>
      </c>
      <c r="D87" s="6" t="s">
        <v>434</v>
      </c>
      <c r="E87">
        <f>(30-C87*100)*VLOOKUP($D87,Calc!$A$1:$C$6,3,FALSE)</f>
        <v>146</v>
      </c>
      <c r="F87" s="6">
        <f>VLOOKUP(D87,Calc!$A$1:$B$6,2,FALSE)</f>
        <v>4</v>
      </c>
      <c r="G87" s="10">
        <f t="shared" si="12"/>
        <v>8.3999999999999995E-3</v>
      </c>
      <c r="H87" s="9">
        <f t="shared" si="13"/>
        <v>9.6000000000000002E-5</v>
      </c>
      <c r="I87" s="10">
        <f t="shared" si="14"/>
        <v>8.4095999999999997E-3</v>
      </c>
      <c r="J87" s="10">
        <f t="shared" si="15"/>
        <v>8.4095999999999997E-3</v>
      </c>
      <c r="K87" s="10" t="str">
        <f t="shared" si="16"/>
        <v/>
      </c>
      <c r="L87" s="9">
        <f t="shared" si="17"/>
        <v>3.9915904000000002</v>
      </c>
      <c r="M87" s="9">
        <f t="shared" si="18"/>
        <v>3.9915904000000002</v>
      </c>
      <c r="N87" s="9" t="str">
        <f t="shared" si="19"/>
        <v/>
      </c>
      <c r="O87" s="4" t="s">
        <v>755</v>
      </c>
      <c r="P87" s="1" t="s">
        <v>1874</v>
      </c>
      <c r="Q87" s="7" t="s">
        <v>1404</v>
      </c>
      <c r="R87" s="7" t="s">
        <v>1405</v>
      </c>
      <c r="S87" s="8" t="s">
        <v>1406</v>
      </c>
      <c r="T87" s="7"/>
      <c r="U87" t="str">
        <f t="shared" si="20"/>
        <v/>
      </c>
      <c r="V87" t="str">
        <f t="shared" si="21"/>
        <v/>
      </c>
      <c r="W87" t="str">
        <f t="shared" si="22"/>
        <v/>
      </c>
      <c r="X87" t="str">
        <f t="shared" si="23"/>
        <v/>
      </c>
      <c r="Y87" t="str">
        <f>VLOOKUP($A87,Runs!$G:$G,1,FALSE)</f>
        <v>Spaghetti Western</v>
      </c>
    </row>
    <row r="88" spans="1:25" ht="22.5" customHeight="1" x14ac:dyDescent="0.25">
      <c r="A88" s="2" t="s">
        <v>501</v>
      </c>
      <c r="B88" s="2" t="s">
        <v>502</v>
      </c>
      <c r="C88" s="3">
        <v>8.0000000000000002E-3</v>
      </c>
      <c r="D88" s="6" t="s">
        <v>434</v>
      </c>
      <c r="E88">
        <f>(30-C88*100)*VLOOKUP($D88,Calc!$A$1:$C$6,3,FALSE)</f>
        <v>146</v>
      </c>
      <c r="F88" s="6">
        <f>VLOOKUP(D88,Calc!$A$1:$B$6,2,FALSE)</f>
        <v>4</v>
      </c>
      <c r="G88" s="10">
        <f t="shared" si="12"/>
        <v>8.3999999999999995E-3</v>
      </c>
      <c r="H88" s="9">
        <f t="shared" si="13"/>
        <v>9.5000000000000005E-5</v>
      </c>
      <c r="I88" s="10">
        <f t="shared" si="14"/>
        <v>8.4095000000000003E-3</v>
      </c>
      <c r="J88" s="10" t="str">
        <f t="shared" si="15"/>
        <v/>
      </c>
      <c r="K88" s="10">
        <f t="shared" si="16"/>
        <v>8.4095000000000003E-3</v>
      </c>
      <c r="L88" s="9">
        <f t="shared" si="17"/>
        <v>3.9915905</v>
      </c>
      <c r="M88" s="9" t="str">
        <f t="shared" si="18"/>
        <v/>
      </c>
      <c r="N88" s="9">
        <f t="shared" si="19"/>
        <v>3.9915905</v>
      </c>
      <c r="O88" s="4"/>
      <c r="Q88" s="7"/>
      <c r="R88" s="8" t="s">
        <v>1391</v>
      </c>
      <c r="S88" s="7"/>
      <c r="T88" s="7"/>
      <c r="U88" t="str">
        <f t="shared" si="20"/>
        <v/>
      </c>
      <c r="V88" t="str">
        <f t="shared" si="21"/>
        <v/>
      </c>
      <c r="W88">
        <f t="shared" si="22"/>
        <v>8.4095000000000003E-3</v>
      </c>
      <c r="X88" t="str">
        <f t="shared" si="23"/>
        <v/>
      </c>
      <c r="Y88" t="str">
        <f>VLOOKUP($A88,Runs!$G:$G,1,FALSE)</f>
        <v>Philippine Tiger</v>
      </c>
    </row>
    <row r="89" spans="1:25" ht="22.5" customHeight="1" x14ac:dyDescent="0.25">
      <c r="A89" s="2" t="s">
        <v>551</v>
      </c>
      <c r="B89" s="2" t="s">
        <v>552</v>
      </c>
      <c r="C89" s="3">
        <v>8.0000000000000002E-3</v>
      </c>
      <c r="D89" s="6" t="s">
        <v>434</v>
      </c>
      <c r="E89">
        <f>(30-C89*100)*VLOOKUP($D89,Calc!$A$1:$C$6,3,FALSE)</f>
        <v>146</v>
      </c>
      <c r="F89" s="6">
        <f>VLOOKUP(D89,Calc!$A$1:$B$6,2,FALSE)</f>
        <v>4</v>
      </c>
      <c r="G89" s="10">
        <f t="shared" si="12"/>
        <v>8.3999999999999995E-3</v>
      </c>
      <c r="H89" s="9">
        <f t="shared" si="13"/>
        <v>5.1999999999999997E-5</v>
      </c>
      <c r="I89" s="10">
        <f t="shared" si="14"/>
        <v>8.4051999999999998E-3</v>
      </c>
      <c r="J89" s="10">
        <f t="shared" si="15"/>
        <v>8.4051999999999998E-3</v>
      </c>
      <c r="K89" s="10" t="str">
        <f t="shared" si="16"/>
        <v/>
      </c>
      <c r="L89" s="9">
        <f t="shared" si="17"/>
        <v>3.9915948000000001</v>
      </c>
      <c r="M89" s="9">
        <f t="shared" si="18"/>
        <v>3.9915948000000001</v>
      </c>
      <c r="N89" s="9" t="str">
        <f t="shared" si="19"/>
        <v/>
      </c>
      <c r="O89" s="4" t="s">
        <v>755</v>
      </c>
      <c r="P89" s="1" t="s">
        <v>1687</v>
      </c>
      <c r="Q89" s="7" t="s">
        <v>1521</v>
      </c>
      <c r="R89" s="8" t="s">
        <v>1522</v>
      </c>
      <c r="S89" s="7"/>
      <c r="T89" s="7"/>
      <c r="U89" t="str">
        <f t="shared" si="20"/>
        <v/>
      </c>
      <c r="V89" t="str">
        <f t="shared" si="21"/>
        <v/>
      </c>
      <c r="W89" t="str">
        <f t="shared" si="22"/>
        <v/>
      </c>
      <c r="X89" t="str">
        <f t="shared" si="23"/>
        <v/>
      </c>
      <c r="Y89" t="e">
        <f>VLOOKUP($A89,Runs!$G:$G,1,FALSE)</f>
        <v>#N/A</v>
      </c>
    </row>
    <row r="90" spans="1:25" ht="22.5" customHeight="1" x14ac:dyDescent="0.25">
      <c r="A90" s="2" t="s">
        <v>549</v>
      </c>
      <c r="B90" s="2" t="s">
        <v>550</v>
      </c>
      <c r="C90" s="3">
        <v>8.0000000000000002E-3</v>
      </c>
      <c r="D90" s="6" t="s">
        <v>434</v>
      </c>
      <c r="E90">
        <f>(30-C90*100)*VLOOKUP($D90,Calc!$A$1:$C$6,3,FALSE)</f>
        <v>146</v>
      </c>
      <c r="F90" s="6">
        <f>VLOOKUP(D90,Calc!$A$1:$B$6,2,FALSE)</f>
        <v>4</v>
      </c>
      <c r="G90" s="10">
        <f t="shared" si="12"/>
        <v>8.3999999999999995E-3</v>
      </c>
      <c r="H90" s="9">
        <f t="shared" si="13"/>
        <v>1.02E-4</v>
      </c>
      <c r="I90" s="10">
        <f t="shared" si="14"/>
        <v>8.4101999999999996E-3</v>
      </c>
      <c r="J90" s="10" t="str">
        <f t="shared" si="15"/>
        <v/>
      </c>
      <c r="K90" s="10">
        <f t="shared" si="16"/>
        <v>8.4101999999999996E-3</v>
      </c>
      <c r="L90" s="9">
        <f t="shared" si="17"/>
        <v>3.9915897999999999</v>
      </c>
      <c r="M90" s="9" t="str">
        <f t="shared" si="18"/>
        <v/>
      </c>
      <c r="N90" s="9">
        <f t="shared" si="19"/>
        <v>3.9915897999999999</v>
      </c>
      <c r="O90" s="4"/>
      <c r="Q90" s="7" t="s">
        <v>1518</v>
      </c>
      <c r="R90" s="7" t="s">
        <v>1519</v>
      </c>
      <c r="S90" s="8" t="s">
        <v>1520</v>
      </c>
      <c r="T90" s="7"/>
      <c r="U90" t="str">
        <f t="shared" si="20"/>
        <v/>
      </c>
      <c r="V90" t="str">
        <f t="shared" si="21"/>
        <v/>
      </c>
      <c r="W90">
        <f t="shared" si="22"/>
        <v>8.4101999999999996E-3</v>
      </c>
      <c r="X90" t="str">
        <f t="shared" si="23"/>
        <v/>
      </c>
      <c r="Y90" t="str">
        <f>VLOOKUP($A90,Runs!$G:$G,1,FALSE)</f>
        <v>Meissner Porcelain</v>
      </c>
    </row>
    <row r="91" spans="1:25" ht="22.5" customHeight="1" x14ac:dyDescent="0.25">
      <c r="A91" s="2" t="s">
        <v>443</v>
      </c>
      <c r="B91" s="2" t="s">
        <v>689</v>
      </c>
      <c r="C91" s="3">
        <v>8.0000000000000002E-3</v>
      </c>
      <c r="D91" s="6" t="s">
        <v>434</v>
      </c>
      <c r="E91">
        <f>(30-C91*100)*VLOOKUP($D91,Calc!$A$1:$C$6,3,FALSE)</f>
        <v>146</v>
      </c>
      <c r="F91" s="6">
        <f>VLOOKUP(D91,Calc!$A$1:$B$6,2,FALSE)</f>
        <v>4</v>
      </c>
      <c r="G91" s="10">
        <f t="shared" si="12"/>
        <v>8.3999999999999995E-3</v>
      </c>
      <c r="H91" s="9">
        <f t="shared" si="13"/>
        <v>6.0999999999999999E-5</v>
      </c>
      <c r="I91" s="10">
        <f t="shared" si="14"/>
        <v>8.4060999999999997E-3</v>
      </c>
      <c r="J91" s="10" t="str">
        <f t="shared" si="15"/>
        <v/>
      </c>
      <c r="K91" s="10">
        <f t="shared" si="16"/>
        <v>8.4060999999999997E-3</v>
      </c>
      <c r="L91" s="9">
        <f t="shared" si="17"/>
        <v>3.9915938999999998</v>
      </c>
      <c r="M91" s="9" t="str">
        <f t="shared" si="18"/>
        <v/>
      </c>
      <c r="N91" s="9">
        <f t="shared" si="19"/>
        <v>3.9915938999999998</v>
      </c>
      <c r="O91" s="4"/>
      <c r="Q91" s="7" t="s">
        <v>1142</v>
      </c>
      <c r="R91" s="7" t="s">
        <v>1143</v>
      </c>
      <c r="S91" s="8" t="s">
        <v>1144</v>
      </c>
      <c r="T91" s="7"/>
      <c r="U91" t="str">
        <f t="shared" si="20"/>
        <v/>
      </c>
      <c r="V91" t="str">
        <f t="shared" si="21"/>
        <v/>
      </c>
      <c r="W91">
        <f t="shared" si="22"/>
        <v>8.4060999999999997E-3</v>
      </c>
      <c r="X91" t="str">
        <f t="shared" si="23"/>
        <v/>
      </c>
      <c r="Y91" t="str">
        <f>VLOOKUP($A91,Runs!$G:$G,1,FALSE)</f>
        <v>Kushite Restoration</v>
      </c>
    </row>
    <row r="92" spans="1:25" ht="22.5" customHeight="1" x14ac:dyDescent="0.25">
      <c r="A92" s="2" t="s">
        <v>477</v>
      </c>
      <c r="B92" s="2" t="s">
        <v>478</v>
      </c>
      <c r="C92" s="3">
        <v>8.0000000000000002E-3</v>
      </c>
      <c r="D92" s="6" t="s">
        <v>434</v>
      </c>
      <c r="E92">
        <f>(30-C92*100)*VLOOKUP($D92,Calc!$A$1:$C$6,3,FALSE)</f>
        <v>146</v>
      </c>
      <c r="F92" s="6">
        <f>VLOOKUP(D92,Calc!$A$1:$B$6,2,FALSE)</f>
        <v>4</v>
      </c>
      <c r="G92" s="10">
        <f t="shared" si="12"/>
        <v>8.3999999999999995E-3</v>
      </c>
      <c r="H92" s="9">
        <f t="shared" si="13"/>
        <v>1.5999999999999999E-5</v>
      </c>
      <c r="I92" s="10">
        <f t="shared" si="14"/>
        <v>8.4015999999999987E-3</v>
      </c>
      <c r="J92" s="10">
        <f t="shared" si="15"/>
        <v>8.4015999999999987E-3</v>
      </c>
      <c r="K92" s="10" t="str">
        <f t="shared" si="16"/>
        <v/>
      </c>
      <c r="L92" s="9">
        <f t="shared" si="17"/>
        <v>3.9915984</v>
      </c>
      <c r="M92" s="9">
        <f t="shared" si="18"/>
        <v>3.9915984</v>
      </c>
      <c r="N92" s="9" t="str">
        <f t="shared" si="19"/>
        <v/>
      </c>
      <c r="O92" s="4" t="s">
        <v>755</v>
      </c>
      <c r="P92" s="1" t="s">
        <v>1711</v>
      </c>
      <c r="Q92" s="7"/>
      <c r="R92" s="7" t="s">
        <v>1351</v>
      </c>
      <c r="S92" s="8" t="s">
        <v>1352</v>
      </c>
      <c r="T92" s="7"/>
      <c r="U92" t="str">
        <f t="shared" si="20"/>
        <v/>
      </c>
      <c r="V92" t="str">
        <f t="shared" si="21"/>
        <v/>
      </c>
      <c r="W92" t="str">
        <f t="shared" si="22"/>
        <v/>
      </c>
      <c r="X92" t="str">
        <f t="shared" si="23"/>
        <v/>
      </c>
      <c r="Y92" t="e">
        <f>VLOOKUP($A92,Runs!$G:$G,1,FALSE)</f>
        <v>#N/A</v>
      </c>
    </row>
    <row r="93" spans="1:25" ht="22.5" customHeight="1" x14ac:dyDescent="0.25">
      <c r="A93" s="2" t="s">
        <v>475</v>
      </c>
      <c r="B93" s="2" t="s">
        <v>678</v>
      </c>
      <c r="C93" s="3">
        <v>8.0000000000000002E-3</v>
      </c>
      <c r="D93" s="6" t="s">
        <v>434</v>
      </c>
      <c r="E93">
        <f>(30-C93*100)*VLOOKUP($D93,Calc!$A$1:$C$6,3,FALSE)</f>
        <v>146</v>
      </c>
      <c r="F93" s="6">
        <f>VLOOKUP(D93,Calc!$A$1:$B$6,2,FALSE)</f>
        <v>4</v>
      </c>
      <c r="G93" s="10">
        <f t="shared" si="12"/>
        <v>8.3999999999999995E-3</v>
      </c>
      <c r="H93" s="9">
        <f t="shared" si="13"/>
        <v>6.8999999999999997E-5</v>
      </c>
      <c r="I93" s="10">
        <f t="shared" si="14"/>
        <v>8.4069000000000001E-3</v>
      </c>
      <c r="J93" s="10" t="str">
        <f t="shared" si="15"/>
        <v/>
      </c>
      <c r="K93" s="10">
        <f t="shared" si="16"/>
        <v>8.4069000000000001E-3</v>
      </c>
      <c r="L93" s="9">
        <f t="shared" si="17"/>
        <v>3.9915930999999998</v>
      </c>
      <c r="M93" s="9" t="str">
        <f t="shared" si="18"/>
        <v/>
      </c>
      <c r="N93" s="9">
        <f t="shared" si="19"/>
        <v>3.9915930999999998</v>
      </c>
      <c r="O93" s="4"/>
      <c r="Q93" s="7" t="s">
        <v>1343</v>
      </c>
      <c r="R93" s="7" t="s">
        <v>1344</v>
      </c>
      <c r="S93" s="8" t="s">
        <v>1345</v>
      </c>
      <c r="T93" s="7"/>
      <c r="U93" t="str">
        <f t="shared" si="20"/>
        <v/>
      </c>
      <c r="V93" t="str">
        <f t="shared" si="21"/>
        <v/>
      </c>
      <c r="W93">
        <f t="shared" si="22"/>
        <v>8.4069000000000001E-3</v>
      </c>
      <c r="X93" t="str">
        <f t="shared" si="23"/>
        <v/>
      </c>
      <c r="Y93" t="str">
        <f>VLOOKUP($A93,Runs!$G:$G,1,FALSE)</f>
        <v>Holy Horder</v>
      </c>
    </row>
    <row r="94" spans="1:25" ht="22.5" customHeight="1" x14ac:dyDescent="0.25">
      <c r="A94" s="2" t="s">
        <v>541</v>
      </c>
      <c r="B94" s="2" t="s">
        <v>542</v>
      </c>
      <c r="C94" s="3">
        <v>8.0000000000000002E-3</v>
      </c>
      <c r="D94" s="6" t="s">
        <v>434</v>
      </c>
      <c r="E94">
        <f>(30-C94*100)*VLOOKUP($D94,Calc!$A$1:$C$6,3,FALSE)</f>
        <v>146</v>
      </c>
      <c r="F94" s="6">
        <f>VLOOKUP(D94,Calc!$A$1:$B$6,2,FALSE)</f>
        <v>4</v>
      </c>
      <c r="G94" s="10">
        <f t="shared" si="12"/>
        <v>8.3999999999999995E-3</v>
      </c>
      <c r="H94" s="9">
        <f t="shared" si="13"/>
        <v>6.6000000000000005E-5</v>
      </c>
      <c r="I94" s="10">
        <f t="shared" si="14"/>
        <v>8.4066000000000002E-3</v>
      </c>
      <c r="J94" s="10">
        <f t="shared" si="15"/>
        <v>8.4066000000000002E-3</v>
      </c>
      <c r="K94" s="10" t="str">
        <f t="shared" si="16"/>
        <v/>
      </c>
      <c r="L94" s="9">
        <f t="shared" si="17"/>
        <v>3.9915934000000002</v>
      </c>
      <c r="M94" s="9">
        <f t="shared" si="18"/>
        <v>3.9915934000000002</v>
      </c>
      <c r="N94" s="9" t="str">
        <f t="shared" si="19"/>
        <v/>
      </c>
      <c r="O94" s="4" t="s">
        <v>755</v>
      </c>
      <c r="P94" s="1" t="s">
        <v>1899</v>
      </c>
      <c r="Q94" s="7" t="s">
        <v>1487</v>
      </c>
      <c r="R94" s="7" t="s">
        <v>1488</v>
      </c>
      <c r="S94" s="8" t="s">
        <v>1489</v>
      </c>
      <c r="T94" s="7"/>
      <c r="U94" t="str">
        <f t="shared" si="20"/>
        <v/>
      </c>
      <c r="V94" t="str">
        <f t="shared" si="21"/>
        <v/>
      </c>
      <c r="W94" t="str">
        <f t="shared" si="22"/>
        <v/>
      </c>
      <c r="X94" t="str">
        <f t="shared" si="23"/>
        <v/>
      </c>
      <c r="Y94" t="str">
        <f>VLOOKUP($A94,Runs!$G:$G,1,FALSE)</f>
        <v>Cotton Kandy</v>
      </c>
    </row>
    <row r="95" spans="1:25" ht="22.5" customHeight="1" x14ac:dyDescent="0.25">
      <c r="A95" s="2" t="s">
        <v>435</v>
      </c>
      <c r="B95" s="2" t="s">
        <v>436</v>
      </c>
      <c r="C95" s="3">
        <v>8.0000000000000002E-3</v>
      </c>
      <c r="D95" s="6" t="s">
        <v>434</v>
      </c>
      <c r="E95">
        <f>(30-C95*100)*VLOOKUP($D95,Calc!$A$1:$C$6,3,FALSE)</f>
        <v>146</v>
      </c>
      <c r="F95" s="6">
        <f>VLOOKUP(D95,Calc!$A$1:$B$6,2,FALSE)</f>
        <v>4</v>
      </c>
      <c r="G95" s="10">
        <f t="shared" si="12"/>
        <v>8.3999999999999995E-3</v>
      </c>
      <c r="H95" s="9">
        <f t="shared" si="13"/>
        <v>6.7000000000000002E-5</v>
      </c>
      <c r="I95" s="10">
        <f t="shared" si="14"/>
        <v>8.4066999999999996E-3</v>
      </c>
      <c r="J95" s="10">
        <f t="shared" si="15"/>
        <v>8.4066999999999996E-3</v>
      </c>
      <c r="K95" s="10" t="str">
        <f t="shared" si="16"/>
        <v/>
      </c>
      <c r="L95" s="9">
        <f t="shared" si="17"/>
        <v>3.9915932999999999</v>
      </c>
      <c r="M95" s="9">
        <f t="shared" si="18"/>
        <v>3.9915932999999999</v>
      </c>
      <c r="N95" s="9" t="str">
        <f t="shared" si="19"/>
        <v/>
      </c>
      <c r="O95" s="4" t="s">
        <v>755</v>
      </c>
      <c r="P95" s="1" t="s">
        <v>1702</v>
      </c>
      <c r="Q95" s="7" t="s">
        <v>1075</v>
      </c>
      <c r="R95" s="8" t="s">
        <v>1076</v>
      </c>
      <c r="S95" s="7"/>
      <c r="T95" s="7"/>
      <c r="U95" t="str">
        <f t="shared" si="20"/>
        <v/>
      </c>
      <c r="V95" t="str">
        <f t="shared" si="21"/>
        <v/>
      </c>
      <c r="W95" t="str">
        <f t="shared" si="22"/>
        <v/>
      </c>
      <c r="X95" t="str">
        <f t="shared" si="23"/>
        <v/>
      </c>
      <c r="Y95" t="str">
        <f>VLOOKUP($A95,Runs!$G:$G,1,FALSE)</f>
        <v>Breaking the Yoke</v>
      </c>
    </row>
    <row r="96" spans="1:25" ht="22.5" customHeight="1" x14ac:dyDescent="0.25">
      <c r="A96" s="2" t="s">
        <v>380</v>
      </c>
      <c r="B96" s="2" t="s">
        <v>749</v>
      </c>
      <c r="C96" s="3">
        <v>8.0000000000000002E-3</v>
      </c>
      <c r="D96" s="6" t="s">
        <v>242</v>
      </c>
      <c r="E96">
        <f>(30-C96*100)*VLOOKUP($D96,Calc!$A$1:$C$6,3,FALSE)</f>
        <v>73</v>
      </c>
      <c r="F96" s="6">
        <f>VLOOKUP(D96,Calc!$A$1:$B$6,2,FALSE)</f>
        <v>3</v>
      </c>
      <c r="G96" s="10">
        <f t="shared" si="12"/>
        <v>8.3000000000000001E-3</v>
      </c>
      <c r="H96" s="9">
        <f t="shared" si="13"/>
        <v>9.7E-5</v>
      </c>
      <c r="I96" s="10">
        <f t="shared" si="14"/>
        <v>8.3096999999999997E-3</v>
      </c>
      <c r="J96" s="10" t="str">
        <f t="shared" si="15"/>
        <v/>
      </c>
      <c r="K96" s="10">
        <f t="shared" si="16"/>
        <v>8.3096999999999997E-3</v>
      </c>
      <c r="L96" s="9">
        <f t="shared" si="17"/>
        <v>2.9916903000000001</v>
      </c>
      <c r="M96" s="9" t="str">
        <f t="shared" si="18"/>
        <v/>
      </c>
      <c r="N96" s="9">
        <f t="shared" si="19"/>
        <v>2.9916903000000001</v>
      </c>
      <c r="O96" s="4"/>
      <c r="Q96" s="7" t="s">
        <v>1262</v>
      </c>
      <c r="R96" s="7" t="s">
        <v>1263</v>
      </c>
      <c r="S96" s="8" t="s">
        <v>1264</v>
      </c>
      <c r="T96" s="7"/>
      <c r="U96" t="str">
        <f t="shared" si="20"/>
        <v/>
      </c>
      <c r="V96">
        <f t="shared" si="21"/>
        <v>8.3096999999999997E-3</v>
      </c>
      <c r="W96" t="str">
        <f t="shared" si="22"/>
        <v/>
      </c>
      <c r="X96" t="str">
        <f t="shared" si="23"/>
        <v/>
      </c>
      <c r="Y96" t="str">
        <f>VLOOKUP($A96,Runs!$G:$G,1,FALSE)</f>
        <v>Victorian Three</v>
      </c>
    </row>
    <row r="97" spans="1:25" ht="22.5" customHeight="1" x14ac:dyDescent="0.25">
      <c r="A97" s="2" t="s">
        <v>337</v>
      </c>
      <c r="B97" s="2" t="s">
        <v>721</v>
      </c>
      <c r="C97" s="3">
        <v>8.0000000000000002E-3</v>
      </c>
      <c r="D97" s="6" t="s">
        <v>242</v>
      </c>
      <c r="E97">
        <f>(30-C97*100)*VLOOKUP($D97,Calc!$A$1:$C$6,3,FALSE)</f>
        <v>73</v>
      </c>
      <c r="F97" s="6">
        <f>VLOOKUP(D97,Calc!$A$1:$B$6,2,FALSE)</f>
        <v>3</v>
      </c>
      <c r="G97" s="10">
        <f t="shared" si="12"/>
        <v>8.3000000000000001E-3</v>
      </c>
      <c r="H97" s="9">
        <f t="shared" si="13"/>
        <v>8.5000000000000006E-5</v>
      </c>
      <c r="I97" s="10">
        <f t="shared" si="14"/>
        <v>8.3084999999999999E-3</v>
      </c>
      <c r="J97" s="10">
        <f t="shared" si="15"/>
        <v>8.3084999999999999E-3</v>
      </c>
      <c r="K97" s="10" t="str">
        <f t="shared" si="16"/>
        <v/>
      </c>
      <c r="L97" s="9">
        <f t="shared" si="17"/>
        <v>2.9916914999999999</v>
      </c>
      <c r="M97" s="9">
        <f t="shared" si="18"/>
        <v>2.9916914999999999</v>
      </c>
      <c r="N97" s="9" t="str">
        <f t="shared" si="19"/>
        <v/>
      </c>
      <c r="O97" s="4" t="s">
        <v>755</v>
      </c>
      <c r="P97" s="1" t="s">
        <v>1667</v>
      </c>
      <c r="Q97" s="7" t="s">
        <v>1149</v>
      </c>
      <c r="R97" s="7" t="s">
        <v>1195</v>
      </c>
      <c r="S97" s="8" t="s">
        <v>1196</v>
      </c>
      <c r="T97" s="7"/>
      <c r="U97" t="str">
        <f t="shared" si="20"/>
        <v/>
      </c>
      <c r="V97" t="str">
        <f t="shared" si="21"/>
        <v/>
      </c>
      <c r="W97" t="str">
        <f t="shared" si="22"/>
        <v/>
      </c>
      <c r="X97" t="str">
        <f t="shared" si="23"/>
        <v/>
      </c>
      <c r="Y97" t="e">
        <f>VLOOKUP($A97,Runs!$G:$G,1,FALSE)</f>
        <v>#N/A</v>
      </c>
    </row>
    <row r="98" spans="1:25" ht="22.5" customHeight="1" x14ac:dyDescent="0.25">
      <c r="A98" s="2" t="s">
        <v>319</v>
      </c>
      <c r="B98" s="2" t="s">
        <v>320</v>
      </c>
      <c r="C98" s="3">
        <v>8.0000000000000002E-3</v>
      </c>
      <c r="D98" s="6" t="s">
        <v>242</v>
      </c>
      <c r="E98">
        <f>(30-C98*100)*VLOOKUP($D98,Calc!$A$1:$C$6,3,FALSE)</f>
        <v>73</v>
      </c>
      <c r="F98" s="6">
        <f>VLOOKUP(D98,Calc!$A$1:$B$6,2,FALSE)</f>
        <v>3</v>
      </c>
      <c r="G98" s="10">
        <f t="shared" si="12"/>
        <v>8.3000000000000001E-3</v>
      </c>
      <c r="H98" s="9">
        <f t="shared" si="13"/>
        <v>9.2E-5</v>
      </c>
      <c r="I98" s="10">
        <f t="shared" si="14"/>
        <v>8.3091999999999992E-3</v>
      </c>
      <c r="J98" s="10">
        <f t="shared" si="15"/>
        <v>8.3091999999999992E-3</v>
      </c>
      <c r="K98" s="10" t="str">
        <f t="shared" si="16"/>
        <v/>
      </c>
      <c r="L98" s="9">
        <f t="shared" si="17"/>
        <v>2.9916908000000002</v>
      </c>
      <c r="M98" s="9">
        <f t="shared" si="18"/>
        <v>2.9916908000000002</v>
      </c>
      <c r="N98" s="9" t="str">
        <f t="shared" si="19"/>
        <v/>
      </c>
      <c r="O98" s="4" t="s">
        <v>755</v>
      </c>
      <c r="P98" s="1" t="s">
        <v>1676</v>
      </c>
      <c r="Q98" s="7" t="s">
        <v>932</v>
      </c>
      <c r="R98" s="7" t="s">
        <v>1162</v>
      </c>
      <c r="S98" s="8" t="s">
        <v>1163</v>
      </c>
      <c r="T98" s="7"/>
      <c r="U98" t="str">
        <f t="shared" si="20"/>
        <v/>
      </c>
      <c r="V98" t="str">
        <f t="shared" si="21"/>
        <v/>
      </c>
      <c r="W98" t="str">
        <f t="shared" si="22"/>
        <v/>
      </c>
      <c r="X98" t="str">
        <f t="shared" si="23"/>
        <v/>
      </c>
      <c r="Y98" t="e">
        <f>VLOOKUP($A98,Runs!$G:$G,1,FALSE)</f>
        <v>#N/A</v>
      </c>
    </row>
    <row r="99" spans="1:25" ht="22.5" customHeight="1" x14ac:dyDescent="0.25">
      <c r="A99" s="2" t="s">
        <v>297</v>
      </c>
      <c r="B99" s="2" t="s">
        <v>298</v>
      </c>
      <c r="C99" s="3">
        <v>8.0000000000000002E-3</v>
      </c>
      <c r="D99" s="6" t="s">
        <v>242</v>
      </c>
      <c r="E99">
        <f>(30-C99*100)*VLOOKUP($D99,Calc!$A$1:$C$6,3,FALSE)</f>
        <v>73</v>
      </c>
      <c r="F99" s="6">
        <f>VLOOKUP(D99,Calc!$A$1:$B$6,2,FALSE)</f>
        <v>3</v>
      </c>
      <c r="G99" s="10">
        <f t="shared" si="12"/>
        <v>8.3000000000000001E-3</v>
      </c>
      <c r="H99" s="9">
        <f t="shared" si="13"/>
        <v>2.8E-5</v>
      </c>
      <c r="I99" s="10">
        <f t="shared" si="14"/>
        <v>8.3028000000000008E-3</v>
      </c>
      <c r="J99" s="10" t="str">
        <f t="shared" si="15"/>
        <v/>
      </c>
      <c r="K99" s="10">
        <f t="shared" si="16"/>
        <v>8.3028000000000008E-3</v>
      </c>
      <c r="L99" s="9">
        <f t="shared" si="17"/>
        <v>2.9916971999999999</v>
      </c>
      <c r="M99" s="9" t="str">
        <f t="shared" si="18"/>
        <v/>
      </c>
      <c r="N99" s="9">
        <f t="shared" si="19"/>
        <v>2.9916971999999999</v>
      </c>
      <c r="O99" s="4"/>
      <c r="Q99" s="7"/>
      <c r="R99" s="7" t="s">
        <v>1123</v>
      </c>
      <c r="S99" s="8" t="s">
        <v>1124</v>
      </c>
      <c r="T99" s="7"/>
      <c r="U99" t="str">
        <f t="shared" si="20"/>
        <v/>
      </c>
      <c r="V99">
        <f t="shared" si="21"/>
        <v>8.3028000000000008E-3</v>
      </c>
      <c r="W99" t="str">
        <f t="shared" si="22"/>
        <v/>
      </c>
      <c r="X99" t="str">
        <f t="shared" si="23"/>
        <v/>
      </c>
      <c r="Y99" t="str">
        <f>VLOOKUP($A99,Runs!$G:$G,1,FALSE)</f>
        <v>Home and Away</v>
      </c>
    </row>
    <row r="100" spans="1:25" ht="22.5" customHeight="1" x14ac:dyDescent="0.25">
      <c r="A100" s="2" t="s">
        <v>277</v>
      </c>
      <c r="B100" s="2" t="s">
        <v>278</v>
      </c>
      <c r="C100" s="3">
        <v>8.0000000000000002E-3</v>
      </c>
      <c r="D100" s="6" t="s">
        <v>242</v>
      </c>
      <c r="E100">
        <f>(30-C100*100)*VLOOKUP($D100,Calc!$A$1:$C$6,3,FALSE)</f>
        <v>73</v>
      </c>
      <c r="F100" s="6">
        <f>VLOOKUP(D100,Calc!$A$1:$B$6,2,FALSE)</f>
        <v>3</v>
      </c>
      <c r="G100" s="10">
        <f t="shared" si="12"/>
        <v>8.3000000000000001E-3</v>
      </c>
      <c r="H100" s="9">
        <f t="shared" si="13"/>
        <v>1.1E-4</v>
      </c>
      <c r="I100" s="10">
        <f t="shared" si="14"/>
        <v>8.3110000000000007E-3</v>
      </c>
      <c r="J100" s="10">
        <f t="shared" si="15"/>
        <v>8.3110000000000007E-3</v>
      </c>
      <c r="K100" s="10" t="str">
        <f t="shared" si="16"/>
        <v/>
      </c>
      <c r="L100" s="9">
        <f t="shared" si="17"/>
        <v>2.991689</v>
      </c>
      <c r="M100" s="9">
        <f t="shared" si="18"/>
        <v>2.991689</v>
      </c>
      <c r="N100" s="9" t="str">
        <f t="shared" si="19"/>
        <v/>
      </c>
      <c r="O100" s="4" t="s">
        <v>755</v>
      </c>
      <c r="P100" s="1" t="s">
        <v>1900</v>
      </c>
      <c r="Q100" s="7" t="s">
        <v>1088</v>
      </c>
      <c r="R100" s="7" t="s">
        <v>1089</v>
      </c>
      <c r="S100" s="8" t="s">
        <v>1090</v>
      </c>
      <c r="T100" s="7"/>
      <c r="U100" t="str">
        <f t="shared" si="20"/>
        <v/>
      </c>
      <c r="V100" t="str">
        <f t="shared" si="21"/>
        <v/>
      </c>
      <c r="W100" t="str">
        <f t="shared" si="22"/>
        <v/>
      </c>
      <c r="X100" t="str">
        <f t="shared" si="23"/>
        <v/>
      </c>
      <c r="Y100" t="str">
        <f>VLOOKUP($A100,Runs!$G:$G,1,FALSE)</f>
        <v>Don’t be Cilli</v>
      </c>
    </row>
    <row r="101" spans="1:25" ht="22.5" customHeight="1" x14ac:dyDescent="0.25">
      <c r="A101" s="2" t="s">
        <v>248</v>
      </c>
      <c r="B101" s="2" t="s">
        <v>249</v>
      </c>
      <c r="C101" s="3">
        <v>8.0000000000000002E-3</v>
      </c>
      <c r="D101" s="6" t="s">
        <v>242</v>
      </c>
      <c r="E101">
        <f>(30-C101*100)*VLOOKUP($D101,Calc!$A$1:$C$6,3,FALSE)</f>
        <v>73</v>
      </c>
      <c r="F101" s="6">
        <f>VLOOKUP(D101,Calc!$A$1:$B$6,2,FALSE)</f>
        <v>3</v>
      </c>
      <c r="G101" s="10">
        <f t="shared" si="12"/>
        <v>8.3000000000000001E-3</v>
      </c>
      <c r="H101" s="9">
        <f t="shared" si="13"/>
        <v>7.7000000000000001E-5</v>
      </c>
      <c r="I101" s="10">
        <f t="shared" si="14"/>
        <v>8.3076999999999995E-3</v>
      </c>
      <c r="J101" s="10">
        <f t="shared" si="15"/>
        <v>8.3076999999999995E-3</v>
      </c>
      <c r="K101" s="10" t="str">
        <f t="shared" si="16"/>
        <v/>
      </c>
      <c r="L101" s="9">
        <f t="shared" si="17"/>
        <v>2.9916923</v>
      </c>
      <c r="M101" s="9">
        <f t="shared" si="18"/>
        <v>2.9916923</v>
      </c>
      <c r="N101" s="9" t="str">
        <f t="shared" si="19"/>
        <v/>
      </c>
      <c r="O101" s="4" t="s">
        <v>755</v>
      </c>
      <c r="P101" s="1" t="s">
        <v>1754</v>
      </c>
      <c r="Q101" s="7" t="s">
        <v>917</v>
      </c>
      <c r="R101" s="7" t="s">
        <v>918</v>
      </c>
      <c r="S101" s="8" t="s">
        <v>919</v>
      </c>
      <c r="T101" s="7"/>
      <c r="U101" t="str">
        <f t="shared" si="20"/>
        <v/>
      </c>
      <c r="V101" t="str">
        <f t="shared" si="21"/>
        <v/>
      </c>
      <c r="W101" t="str">
        <f t="shared" si="22"/>
        <v/>
      </c>
      <c r="X101" t="str">
        <f t="shared" si="23"/>
        <v/>
      </c>
      <c r="Y101" t="str">
        <f>VLOOKUP($A101,Runs!$G:$G,1,FALSE)</f>
        <v>Disciples of Enlightenment</v>
      </c>
    </row>
    <row r="102" spans="1:25" ht="22.5" customHeight="1" x14ac:dyDescent="0.25">
      <c r="A102" s="2" t="s">
        <v>613</v>
      </c>
      <c r="B102" s="2" t="s">
        <v>734</v>
      </c>
      <c r="C102" s="3">
        <v>8.0000000000000002E-3</v>
      </c>
      <c r="D102" s="6" t="s">
        <v>573</v>
      </c>
      <c r="E102">
        <f>(30-C102*100)*VLOOKUP($D102,Calc!$A$1:$C$6,3,FALSE)</f>
        <v>292</v>
      </c>
      <c r="F102" s="6">
        <f>VLOOKUP(D102,Calc!$A$1:$B$6,2,FALSE)</f>
        <v>5</v>
      </c>
      <c r="G102" s="10">
        <f t="shared" si="12"/>
        <v>8.5000000000000006E-3</v>
      </c>
      <c r="H102" s="9">
        <f t="shared" si="13"/>
        <v>5.5999999999999999E-5</v>
      </c>
      <c r="I102" s="10">
        <f t="shared" si="14"/>
        <v>8.5056000000000003E-3</v>
      </c>
      <c r="J102" s="10">
        <f t="shared" si="15"/>
        <v>8.5056000000000003E-3</v>
      </c>
      <c r="K102" s="10" t="str">
        <f t="shared" si="16"/>
        <v/>
      </c>
      <c r="L102" s="9">
        <f t="shared" si="17"/>
        <v>4.9914943999999997</v>
      </c>
      <c r="M102" s="9">
        <f t="shared" si="18"/>
        <v>4.9914943999999997</v>
      </c>
      <c r="N102" s="9" t="str">
        <f t="shared" si="19"/>
        <v/>
      </c>
      <c r="O102" s="4" t="s">
        <v>755</v>
      </c>
      <c r="P102" s="1" t="s">
        <v>1664</v>
      </c>
      <c r="Q102" s="7" t="s">
        <v>1563</v>
      </c>
      <c r="R102" s="7" t="s">
        <v>1564</v>
      </c>
      <c r="S102" s="8" t="s">
        <v>1565</v>
      </c>
      <c r="T102" s="7"/>
      <c r="U102" t="str">
        <f t="shared" si="20"/>
        <v/>
      </c>
      <c r="V102" t="str">
        <f t="shared" si="21"/>
        <v/>
      </c>
      <c r="W102" t="str">
        <f t="shared" si="22"/>
        <v/>
      </c>
      <c r="X102" t="str">
        <f t="shared" si="23"/>
        <v/>
      </c>
      <c r="Y102" t="e">
        <f>VLOOKUP($A102,Runs!$G:$G,1,FALSE)</f>
        <v>#N/A</v>
      </c>
    </row>
    <row r="103" spans="1:25" ht="22.5" customHeight="1" x14ac:dyDescent="0.25">
      <c r="A103" s="2" t="s">
        <v>575</v>
      </c>
      <c r="B103" s="2" t="s">
        <v>576</v>
      </c>
      <c r="C103" s="3">
        <v>8.0000000000000002E-3</v>
      </c>
      <c r="D103" s="6" t="s">
        <v>573</v>
      </c>
      <c r="E103">
        <f>(30-C103*100)*VLOOKUP($D103,Calc!$A$1:$C$6,3,FALSE)</f>
        <v>292</v>
      </c>
      <c r="F103" s="6">
        <f>VLOOKUP(D103,Calc!$A$1:$B$6,2,FALSE)</f>
        <v>5</v>
      </c>
      <c r="G103" s="10">
        <f t="shared" si="12"/>
        <v>8.5000000000000006E-3</v>
      </c>
      <c r="H103" s="9">
        <f t="shared" si="13"/>
        <v>3.8000000000000002E-5</v>
      </c>
      <c r="I103" s="10">
        <f t="shared" si="14"/>
        <v>8.5038000000000006E-3</v>
      </c>
      <c r="J103" s="10" t="str">
        <f t="shared" si="15"/>
        <v/>
      </c>
      <c r="K103" s="10">
        <f t="shared" si="16"/>
        <v>8.5038000000000006E-3</v>
      </c>
      <c r="L103" s="9">
        <f t="shared" si="17"/>
        <v>4.9914962000000003</v>
      </c>
      <c r="M103" s="9" t="str">
        <f t="shared" si="18"/>
        <v/>
      </c>
      <c r="N103" s="9">
        <f t="shared" si="19"/>
        <v>4.9914962000000003</v>
      </c>
      <c r="O103" s="4"/>
      <c r="Q103" s="7" t="s">
        <v>1429</v>
      </c>
      <c r="R103" s="7" t="s">
        <v>1430</v>
      </c>
      <c r="S103" s="8" t="s">
        <v>1431</v>
      </c>
      <c r="T103" s="7"/>
      <c r="U103" t="str">
        <f t="shared" si="20"/>
        <v/>
      </c>
      <c r="V103" t="str">
        <f t="shared" si="21"/>
        <v/>
      </c>
      <c r="W103" t="str">
        <f t="shared" si="22"/>
        <v/>
      </c>
      <c r="X103" t="str">
        <f t="shared" si="23"/>
        <v/>
      </c>
      <c r="Y103" t="str">
        <f>VLOOKUP($A103,Runs!$G:$G,1,FALSE)</f>
        <v>The Animal Kingdom</v>
      </c>
    </row>
    <row r="104" spans="1:25" ht="22.5" customHeight="1" x14ac:dyDescent="0.25">
      <c r="A104" s="2" t="s">
        <v>602</v>
      </c>
      <c r="B104" s="2" t="s">
        <v>603</v>
      </c>
      <c r="C104" s="3">
        <v>8.0000000000000002E-3</v>
      </c>
      <c r="D104" s="6" t="s">
        <v>573</v>
      </c>
      <c r="E104">
        <f>(30-C104*100)*VLOOKUP($D104,Calc!$A$1:$C$6,3,FALSE)</f>
        <v>292</v>
      </c>
      <c r="F104" s="6">
        <f>VLOOKUP(D104,Calc!$A$1:$B$6,2,FALSE)</f>
        <v>5</v>
      </c>
      <c r="G104" s="10">
        <f t="shared" si="12"/>
        <v>8.5000000000000006E-3</v>
      </c>
      <c r="H104" s="9">
        <f t="shared" si="13"/>
        <v>-1.2999999999999999E-5</v>
      </c>
      <c r="I104" s="10">
        <f t="shared" si="14"/>
        <v>8.4987000000000014E-3</v>
      </c>
      <c r="J104" s="10" t="str">
        <f t="shared" si="15"/>
        <v/>
      </c>
      <c r="K104" s="10">
        <f t="shared" si="16"/>
        <v>8.4987000000000014E-3</v>
      </c>
      <c r="L104" s="9">
        <f t="shared" si="17"/>
        <v>4.9915013000000004</v>
      </c>
      <c r="M104" s="9" t="str">
        <f t="shared" si="18"/>
        <v/>
      </c>
      <c r="N104" s="9">
        <f t="shared" si="19"/>
        <v>4.9915013000000004</v>
      </c>
      <c r="O104" s="4"/>
      <c r="Q104" s="7" t="s">
        <v>1534</v>
      </c>
      <c r="R104" s="7" t="s">
        <v>1535</v>
      </c>
      <c r="S104" s="8" t="s">
        <v>1536</v>
      </c>
      <c r="T104" s="7"/>
      <c r="U104" t="str">
        <f t="shared" si="20"/>
        <v/>
      </c>
      <c r="V104" t="str">
        <f t="shared" si="21"/>
        <v/>
      </c>
      <c r="W104" t="str">
        <f t="shared" si="22"/>
        <v/>
      </c>
      <c r="X104" t="str">
        <f t="shared" si="23"/>
        <v/>
      </c>
      <c r="Y104" t="str">
        <f>VLOOKUP($A104,Runs!$G:$G,1,FALSE)</f>
        <v>Raja of the Rajput Reich</v>
      </c>
    </row>
    <row r="105" spans="1:25" ht="22.5" customHeight="1" x14ac:dyDescent="0.25">
      <c r="A105" s="2" t="s">
        <v>597</v>
      </c>
      <c r="B105" s="2" t="s">
        <v>598</v>
      </c>
      <c r="C105" s="3">
        <v>8.0000000000000002E-3</v>
      </c>
      <c r="D105" s="6" t="s">
        <v>573</v>
      </c>
      <c r="E105">
        <f>(30-C105*100)*VLOOKUP($D105,Calc!$A$1:$C$6,3,FALSE)</f>
        <v>292</v>
      </c>
      <c r="F105" s="6">
        <f>VLOOKUP(D105,Calc!$A$1:$B$6,2,FALSE)</f>
        <v>5</v>
      </c>
      <c r="G105" s="10">
        <f t="shared" si="12"/>
        <v>8.5000000000000006E-3</v>
      </c>
      <c r="H105" s="9">
        <f t="shared" si="13"/>
        <v>9.2E-5</v>
      </c>
      <c r="I105" s="10">
        <f t="shared" si="14"/>
        <v>8.5091999999999998E-3</v>
      </c>
      <c r="J105" s="10" t="str">
        <f t="shared" si="15"/>
        <v/>
      </c>
      <c r="K105" s="10">
        <f t="shared" si="16"/>
        <v>8.5091999999999998E-3</v>
      </c>
      <c r="L105" s="9">
        <f t="shared" si="17"/>
        <v>4.9914908000000002</v>
      </c>
      <c r="M105" s="9" t="str">
        <f t="shared" si="18"/>
        <v/>
      </c>
      <c r="N105" s="9">
        <f t="shared" si="19"/>
        <v>4.9914908000000002</v>
      </c>
      <c r="O105" s="4"/>
      <c r="Q105" s="7" t="s">
        <v>956</v>
      </c>
      <c r="R105" s="7" t="s">
        <v>1526</v>
      </c>
      <c r="S105" s="8" t="s">
        <v>1527</v>
      </c>
      <c r="T105" s="7"/>
      <c r="U105" t="str">
        <f t="shared" si="20"/>
        <v/>
      </c>
      <c r="V105" t="str">
        <f t="shared" si="21"/>
        <v/>
      </c>
      <c r="W105" t="str">
        <f t="shared" si="22"/>
        <v/>
      </c>
      <c r="X105" t="str">
        <f t="shared" si="23"/>
        <v/>
      </c>
      <c r="Y105" t="str">
        <f>VLOOKUP($A105,Runs!$G:$G,1,FALSE)</f>
        <v>Norwegian Wood</v>
      </c>
    </row>
    <row r="106" spans="1:25" ht="22.5" customHeight="1" x14ac:dyDescent="0.25">
      <c r="A106" s="2" t="s">
        <v>581</v>
      </c>
      <c r="B106" s="2" t="s">
        <v>582</v>
      </c>
      <c r="C106" s="3">
        <v>8.0000000000000002E-3</v>
      </c>
      <c r="D106" s="6" t="s">
        <v>573</v>
      </c>
      <c r="E106">
        <f>(30-C106*100)*VLOOKUP($D106,Calc!$A$1:$C$6,3,FALSE)</f>
        <v>292</v>
      </c>
      <c r="F106" s="6">
        <f>VLOOKUP(D106,Calc!$A$1:$B$6,2,FALSE)</f>
        <v>5</v>
      </c>
      <c r="G106" s="10">
        <f t="shared" si="12"/>
        <v>8.5000000000000006E-3</v>
      </c>
      <c r="H106" s="9">
        <f t="shared" si="13"/>
        <v>5.0000000000000002E-5</v>
      </c>
      <c r="I106" s="10">
        <f t="shared" si="14"/>
        <v>8.5050000000000004E-3</v>
      </c>
      <c r="J106" s="10">
        <f t="shared" si="15"/>
        <v>8.5050000000000004E-3</v>
      </c>
      <c r="K106" s="10" t="str">
        <f t="shared" si="16"/>
        <v/>
      </c>
      <c r="L106" s="9">
        <f t="shared" si="17"/>
        <v>4.9914949999999996</v>
      </c>
      <c r="M106" s="9">
        <f t="shared" si="18"/>
        <v>4.9914949999999996</v>
      </c>
      <c r="N106" s="9" t="str">
        <f t="shared" si="19"/>
        <v/>
      </c>
      <c r="O106" s="4" t="s">
        <v>755</v>
      </c>
      <c r="P106" s="1" t="s">
        <v>1664</v>
      </c>
      <c r="Q106" s="7" t="s">
        <v>1471</v>
      </c>
      <c r="R106" s="7" t="s">
        <v>1472</v>
      </c>
      <c r="S106" s="8" t="s">
        <v>1473</v>
      </c>
      <c r="T106" s="7"/>
      <c r="U106" t="str">
        <f t="shared" si="20"/>
        <v/>
      </c>
      <c r="V106" t="str">
        <f t="shared" si="21"/>
        <v/>
      </c>
      <c r="W106" t="str">
        <f t="shared" si="22"/>
        <v/>
      </c>
      <c r="X106" t="str">
        <f t="shared" si="23"/>
        <v/>
      </c>
      <c r="Y106" t="e">
        <f>VLOOKUP($A106,Runs!$G:$G,1,FALSE)</f>
        <v>#N/A</v>
      </c>
    </row>
    <row r="107" spans="1:25" ht="22.5" customHeight="1" x14ac:dyDescent="0.25">
      <c r="A107" s="2" t="s">
        <v>577</v>
      </c>
      <c r="B107" s="2" t="s">
        <v>578</v>
      </c>
      <c r="C107" s="3">
        <v>8.0000000000000002E-3</v>
      </c>
      <c r="D107" s="6" t="s">
        <v>573</v>
      </c>
      <c r="E107">
        <f>(30-C107*100)*VLOOKUP($D107,Calc!$A$1:$C$6,3,FALSE)</f>
        <v>292</v>
      </c>
      <c r="F107" s="6">
        <f>VLOOKUP(D107,Calc!$A$1:$B$6,2,FALSE)</f>
        <v>5</v>
      </c>
      <c r="G107" s="10">
        <f t="shared" si="12"/>
        <v>8.5000000000000006E-3</v>
      </c>
      <c r="H107" s="9">
        <f t="shared" si="13"/>
        <v>3.8999999999999999E-5</v>
      </c>
      <c r="I107" s="10">
        <f t="shared" si="14"/>
        <v>8.5039E-3</v>
      </c>
      <c r="J107" s="10" t="str">
        <f t="shared" si="15"/>
        <v/>
      </c>
      <c r="K107" s="10">
        <f t="shared" si="16"/>
        <v>8.5039E-3</v>
      </c>
      <c r="L107" s="9">
        <f t="shared" si="17"/>
        <v>4.9914961</v>
      </c>
      <c r="M107" s="9" t="str">
        <f t="shared" si="18"/>
        <v/>
      </c>
      <c r="N107" s="9">
        <f t="shared" si="19"/>
        <v>4.9914961</v>
      </c>
      <c r="O107" s="4"/>
      <c r="Q107" s="7" t="s">
        <v>1464</v>
      </c>
      <c r="R107" s="8" t="s">
        <v>1465</v>
      </c>
      <c r="S107" s="7"/>
      <c r="T107" s="7"/>
      <c r="U107" t="str">
        <f t="shared" si="20"/>
        <v/>
      </c>
      <c r="V107" t="str">
        <f t="shared" si="21"/>
        <v/>
      </c>
      <c r="W107" t="str">
        <f t="shared" si="22"/>
        <v/>
      </c>
      <c r="X107" t="str">
        <f t="shared" si="23"/>
        <v/>
      </c>
      <c r="Y107" t="str">
        <f>VLOOKUP($A107,Runs!$G:$G,1,FALSE)</f>
        <v>Academical</v>
      </c>
    </row>
    <row r="108" spans="1:25" ht="22.5" customHeight="1" x14ac:dyDescent="0.25">
      <c r="A108" s="2" t="s">
        <v>186</v>
      </c>
      <c r="B108" s="2" t="s">
        <v>187</v>
      </c>
      <c r="C108" s="3">
        <v>8.9999999999999993E-3</v>
      </c>
      <c r="D108" s="6" t="s">
        <v>105</v>
      </c>
      <c r="E108">
        <f>(30-C108*100)*VLOOKUP($D108,Calc!$A$1:$C$6,3,FALSE)</f>
        <v>29.1</v>
      </c>
      <c r="F108" s="6">
        <f>VLOOKUP(D108,Calc!$A$1:$B$6,2,FALSE)</f>
        <v>2</v>
      </c>
      <c r="G108" s="10">
        <f t="shared" si="12"/>
        <v>9.1999999999999998E-3</v>
      </c>
      <c r="H108" s="9">
        <f t="shared" si="13"/>
        <v>7.4999999999999993E-5</v>
      </c>
      <c r="I108" s="10">
        <f t="shared" si="14"/>
        <v>9.2075000000000004E-3</v>
      </c>
      <c r="J108" s="10">
        <f t="shared" si="15"/>
        <v>9.2075000000000004E-3</v>
      </c>
      <c r="K108" s="10" t="str">
        <f t="shared" si="16"/>
        <v/>
      </c>
      <c r="L108" s="9">
        <f t="shared" si="17"/>
        <v>1.9907925</v>
      </c>
      <c r="M108" s="9">
        <f t="shared" si="18"/>
        <v>1.9907925</v>
      </c>
      <c r="N108" s="9" t="str">
        <f t="shared" si="19"/>
        <v/>
      </c>
      <c r="O108" s="4" t="s">
        <v>755</v>
      </c>
      <c r="P108" s="1" t="s">
        <v>762</v>
      </c>
      <c r="Q108" s="7" t="s">
        <v>1008</v>
      </c>
      <c r="R108" s="7" t="s">
        <v>1009</v>
      </c>
      <c r="S108" s="8" t="s">
        <v>1010</v>
      </c>
      <c r="T108" s="7"/>
      <c r="U108" t="str">
        <f t="shared" si="20"/>
        <v/>
      </c>
      <c r="V108" t="str">
        <f t="shared" si="21"/>
        <v/>
      </c>
      <c r="W108" t="str">
        <f t="shared" si="22"/>
        <v/>
      </c>
      <c r="X108" t="str">
        <f t="shared" si="23"/>
        <v/>
      </c>
      <c r="Y108" t="e">
        <f>VLOOKUP($A108,Runs!$G:$G,1,FALSE)</f>
        <v>#N/A</v>
      </c>
    </row>
    <row r="109" spans="1:25" ht="22.5" customHeight="1" x14ac:dyDescent="0.25">
      <c r="A109" s="2" t="s">
        <v>507</v>
      </c>
      <c r="B109" s="2" t="s">
        <v>508</v>
      </c>
      <c r="C109" s="3">
        <v>8.9999999999999993E-3</v>
      </c>
      <c r="D109" s="6" t="s">
        <v>434</v>
      </c>
      <c r="E109">
        <f>(30-C109*100)*VLOOKUP($D109,Calc!$A$1:$C$6,3,FALSE)</f>
        <v>145.5</v>
      </c>
      <c r="F109" s="6">
        <f>VLOOKUP(D109,Calc!$A$1:$B$6,2,FALSE)</f>
        <v>4</v>
      </c>
      <c r="G109" s="10">
        <f t="shared" si="12"/>
        <v>9.3999999999999986E-3</v>
      </c>
      <c r="H109" s="9">
        <f t="shared" si="13"/>
        <v>5.5000000000000002E-5</v>
      </c>
      <c r="I109" s="10">
        <f t="shared" si="14"/>
        <v>9.4054999999999989E-3</v>
      </c>
      <c r="J109" s="10">
        <f t="shared" si="15"/>
        <v>9.4054999999999989E-3</v>
      </c>
      <c r="K109" s="10" t="str">
        <f t="shared" si="16"/>
        <v/>
      </c>
      <c r="L109" s="9">
        <f t="shared" si="17"/>
        <v>3.9905944999999998</v>
      </c>
      <c r="M109" s="9">
        <f t="shared" si="18"/>
        <v>3.9905944999999998</v>
      </c>
      <c r="N109" s="9" t="str">
        <f t="shared" si="19"/>
        <v/>
      </c>
      <c r="O109" s="4" t="s">
        <v>755</v>
      </c>
      <c r="P109" s="1" t="s">
        <v>1888</v>
      </c>
      <c r="Q109" s="7" t="s">
        <v>1401</v>
      </c>
      <c r="R109" s="7" t="s">
        <v>1402</v>
      </c>
      <c r="S109" s="8" t="s">
        <v>1403</v>
      </c>
      <c r="T109" s="7"/>
      <c r="U109" t="str">
        <f t="shared" si="20"/>
        <v/>
      </c>
      <c r="V109" t="str">
        <f t="shared" si="21"/>
        <v/>
      </c>
      <c r="W109" t="str">
        <f t="shared" si="22"/>
        <v/>
      </c>
      <c r="X109" t="str">
        <f t="shared" si="23"/>
        <v/>
      </c>
      <c r="Y109" t="str">
        <f>VLOOKUP($A109,Runs!$G:$G,1,FALSE)</f>
        <v>Sailor Mon</v>
      </c>
    </row>
    <row r="110" spans="1:25" ht="22.5" customHeight="1" x14ac:dyDescent="0.25">
      <c r="A110" s="2" t="s">
        <v>488</v>
      </c>
      <c r="B110" s="2" t="s">
        <v>489</v>
      </c>
      <c r="C110" s="3">
        <v>8.9999999999999993E-3</v>
      </c>
      <c r="D110" s="6" t="s">
        <v>434</v>
      </c>
      <c r="E110">
        <f>(30-C110*100)*VLOOKUP($D110,Calc!$A$1:$C$6,3,FALSE)</f>
        <v>145.5</v>
      </c>
      <c r="F110" s="6">
        <f>VLOOKUP(D110,Calc!$A$1:$B$6,2,FALSE)</f>
        <v>4</v>
      </c>
      <c r="G110" s="10">
        <f t="shared" si="12"/>
        <v>9.3999999999999986E-3</v>
      </c>
      <c r="H110" s="9">
        <f t="shared" si="13"/>
        <v>7.2999999999999999E-5</v>
      </c>
      <c r="I110" s="10">
        <f t="shared" si="14"/>
        <v>9.4072999999999986E-3</v>
      </c>
      <c r="J110" s="10" t="str">
        <f t="shared" si="15"/>
        <v/>
      </c>
      <c r="K110" s="10">
        <f t="shared" si="16"/>
        <v>9.4072999999999986E-3</v>
      </c>
      <c r="L110" s="9">
        <f t="shared" si="17"/>
        <v>3.9905927000000001</v>
      </c>
      <c r="M110" s="9" t="str">
        <f t="shared" si="18"/>
        <v/>
      </c>
      <c r="N110" s="9">
        <f t="shared" si="19"/>
        <v>3.9905927000000001</v>
      </c>
      <c r="O110" s="4"/>
      <c r="Q110" s="7" t="s">
        <v>1367</v>
      </c>
      <c r="R110" s="7" t="s">
        <v>1368</v>
      </c>
      <c r="S110" s="8" t="s">
        <v>1369</v>
      </c>
      <c r="T110" s="7"/>
      <c r="U110" t="str">
        <f t="shared" si="20"/>
        <v/>
      </c>
      <c r="V110" t="str">
        <f t="shared" si="21"/>
        <v/>
      </c>
      <c r="W110">
        <f t="shared" si="22"/>
        <v>9.4072999999999986E-3</v>
      </c>
      <c r="X110" t="str">
        <f t="shared" si="23"/>
        <v/>
      </c>
      <c r="Y110" t="str">
        <f>VLOOKUP($A110,Runs!$G:$G,1,FALSE)</f>
        <v>Lucky Lucca</v>
      </c>
    </row>
    <row r="111" spans="1:25" ht="22.5" customHeight="1" x14ac:dyDescent="0.25">
      <c r="A111" s="2" t="s">
        <v>547</v>
      </c>
      <c r="B111" s="2" t="s">
        <v>548</v>
      </c>
      <c r="C111" s="3">
        <v>8.9999999999999993E-3</v>
      </c>
      <c r="D111" s="6" t="s">
        <v>434</v>
      </c>
      <c r="E111">
        <f>(30-C111*100)*VLOOKUP($D111,Calc!$A$1:$C$6,3,FALSE)</f>
        <v>145.5</v>
      </c>
      <c r="F111" s="6">
        <f>VLOOKUP(D111,Calc!$A$1:$B$6,2,FALSE)</f>
        <v>4</v>
      </c>
      <c r="G111" s="10">
        <f t="shared" si="12"/>
        <v>9.3999999999999986E-3</v>
      </c>
      <c r="H111" s="9">
        <f t="shared" si="13"/>
        <v>9.6000000000000002E-5</v>
      </c>
      <c r="I111" s="10">
        <f t="shared" si="14"/>
        <v>9.4095999999999989E-3</v>
      </c>
      <c r="J111" s="10">
        <f t="shared" si="15"/>
        <v>9.4095999999999989E-3</v>
      </c>
      <c r="K111" s="10" t="str">
        <f t="shared" si="16"/>
        <v/>
      </c>
      <c r="L111" s="9">
        <f t="shared" si="17"/>
        <v>3.9905903999999999</v>
      </c>
      <c r="M111" s="9">
        <f t="shared" si="18"/>
        <v>3.9905903999999999</v>
      </c>
      <c r="N111" s="9" t="str">
        <f t="shared" si="19"/>
        <v/>
      </c>
      <c r="O111" s="4" t="s">
        <v>755</v>
      </c>
      <c r="P111" s="1" t="s">
        <v>1905</v>
      </c>
      <c r="Q111" s="7" t="s">
        <v>1515</v>
      </c>
      <c r="R111" s="7" t="s">
        <v>1516</v>
      </c>
      <c r="S111" s="8" t="s">
        <v>1517</v>
      </c>
      <c r="T111" s="7"/>
      <c r="U111" t="str">
        <f t="shared" si="20"/>
        <v/>
      </c>
      <c r="V111" t="str">
        <f t="shared" si="21"/>
        <v/>
      </c>
      <c r="W111" t="str">
        <f t="shared" si="22"/>
        <v/>
      </c>
      <c r="X111" t="str">
        <f t="shared" si="23"/>
        <v/>
      </c>
      <c r="Y111" t="str">
        <f>VLOOKUP($A111,Runs!$G:$G,1,FALSE)</f>
        <v>Komnenoi Empire</v>
      </c>
    </row>
    <row r="112" spans="1:25" ht="22.5" customHeight="1" x14ac:dyDescent="0.25">
      <c r="A112" s="2" t="s">
        <v>482</v>
      </c>
      <c r="B112" s="2" t="s">
        <v>685</v>
      </c>
      <c r="C112" s="3">
        <v>8.9999999999999993E-3</v>
      </c>
      <c r="D112" s="6" t="s">
        <v>434</v>
      </c>
      <c r="E112">
        <f>(30-C112*100)*VLOOKUP($D112,Calc!$A$1:$C$6,3,FALSE)</f>
        <v>145.5</v>
      </c>
      <c r="F112" s="6">
        <f>VLOOKUP(D112,Calc!$A$1:$B$6,2,FALSE)</f>
        <v>4</v>
      </c>
      <c r="G112" s="10">
        <f t="shared" si="12"/>
        <v>9.3999999999999986E-3</v>
      </c>
      <c r="H112" s="9">
        <f t="shared" si="13"/>
        <v>9.6000000000000002E-5</v>
      </c>
      <c r="I112" s="10">
        <f t="shared" si="14"/>
        <v>9.4095999999999989E-3</v>
      </c>
      <c r="J112" s="10">
        <f t="shared" si="15"/>
        <v>9.4095999999999989E-3</v>
      </c>
      <c r="K112" s="10" t="str">
        <f t="shared" si="16"/>
        <v/>
      </c>
      <c r="L112" s="9">
        <f t="shared" si="17"/>
        <v>3.9905903999999999</v>
      </c>
      <c r="M112" s="9">
        <f t="shared" si="18"/>
        <v>3.9905903999999999</v>
      </c>
      <c r="N112" s="9" t="str">
        <f t="shared" si="19"/>
        <v/>
      </c>
      <c r="O112" s="4" t="s">
        <v>755</v>
      </c>
      <c r="P112" s="1" t="s">
        <v>1702</v>
      </c>
      <c r="Q112" s="7" t="s">
        <v>1357</v>
      </c>
      <c r="R112" s="8" t="s">
        <v>1358</v>
      </c>
      <c r="S112" s="7"/>
      <c r="T112" s="7"/>
      <c r="U112" t="str">
        <f t="shared" si="20"/>
        <v/>
      </c>
      <c r="V112" t="str">
        <f t="shared" si="21"/>
        <v/>
      </c>
      <c r="W112" t="str">
        <f t="shared" si="22"/>
        <v/>
      </c>
      <c r="X112" t="str">
        <f t="shared" si="23"/>
        <v/>
      </c>
      <c r="Y112" t="str">
        <f>VLOOKUP($A112,Runs!$G:$G,1,FALSE)</f>
        <v>Kinslayer</v>
      </c>
    </row>
    <row r="113" spans="1:25" ht="22.5" customHeight="1" x14ac:dyDescent="0.25">
      <c r="A113" s="2" t="s">
        <v>631</v>
      </c>
      <c r="B113" s="2" t="s">
        <v>632</v>
      </c>
      <c r="C113" s="3">
        <v>8.9999999999999993E-3</v>
      </c>
      <c r="D113" s="6" t="s">
        <v>626</v>
      </c>
      <c r="E113">
        <f>(30-C113*100)*VLOOKUP($D113,Calc!$A$1:$C$6,3,FALSE)</f>
        <v>873</v>
      </c>
      <c r="F113" s="6">
        <f>VLOOKUP(D113,Calc!$A$1:$B$6,2,FALSE)</f>
        <v>6</v>
      </c>
      <c r="G113" s="10">
        <f t="shared" si="12"/>
        <v>9.5999999999999992E-3</v>
      </c>
      <c r="H113" s="9">
        <f t="shared" si="13"/>
        <v>5.3999999999999998E-5</v>
      </c>
      <c r="I113" s="10">
        <f t="shared" si="14"/>
        <v>9.6053999999999983E-3</v>
      </c>
      <c r="J113" s="10" t="str">
        <f t="shared" si="15"/>
        <v/>
      </c>
      <c r="K113" s="10">
        <f t="shared" si="16"/>
        <v>9.6053999999999983E-3</v>
      </c>
      <c r="L113" s="9">
        <f t="shared" si="17"/>
        <v>5.9903946000000001</v>
      </c>
      <c r="M113" s="9" t="str">
        <f t="shared" si="18"/>
        <v/>
      </c>
      <c r="N113" s="9">
        <f t="shared" si="19"/>
        <v>5.9903946000000001</v>
      </c>
      <c r="O113" s="4"/>
      <c r="Q113" s="7" t="s">
        <v>1588</v>
      </c>
      <c r="R113" s="7" t="s">
        <v>1589</v>
      </c>
      <c r="S113" s="8" t="s">
        <v>1590</v>
      </c>
      <c r="T113" s="7"/>
      <c r="U113" t="str">
        <f t="shared" si="20"/>
        <v/>
      </c>
      <c r="V113" t="str">
        <f t="shared" si="21"/>
        <v/>
      </c>
      <c r="W113" t="str">
        <f t="shared" si="22"/>
        <v/>
      </c>
      <c r="X113" t="str">
        <f t="shared" si="23"/>
        <v/>
      </c>
      <c r="Y113" t="str">
        <f>VLOOKUP($A113,Runs!$G:$G,1,FALSE)</f>
        <v>True Heir of Timur</v>
      </c>
    </row>
    <row r="114" spans="1:25" ht="22.5" customHeight="1" x14ac:dyDescent="0.25">
      <c r="A114" s="2" t="s">
        <v>629</v>
      </c>
      <c r="B114" s="2" t="s">
        <v>630</v>
      </c>
      <c r="C114" s="3">
        <v>8.9999999999999993E-3</v>
      </c>
      <c r="D114" s="6" t="s">
        <v>626</v>
      </c>
      <c r="E114">
        <f>(30-C114*100)*VLOOKUP($D114,Calc!$A$1:$C$6,3,FALSE)</f>
        <v>873</v>
      </c>
      <c r="F114" s="6">
        <f>VLOOKUP(D114,Calc!$A$1:$B$6,2,FALSE)</f>
        <v>6</v>
      </c>
      <c r="G114" s="10">
        <f t="shared" si="12"/>
        <v>9.5999999999999992E-3</v>
      </c>
      <c r="H114" s="9">
        <f t="shared" si="13"/>
        <v>5.1999999999999997E-5</v>
      </c>
      <c r="I114" s="10">
        <f t="shared" si="14"/>
        <v>9.6051999999999995E-3</v>
      </c>
      <c r="J114" s="10">
        <f t="shared" si="15"/>
        <v>9.6051999999999995E-3</v>
      </c>
      <c r="K114" s="10" t="str">
        <f t="shared" si="16"/>
        <v/>
      </c>
      <c r="L114" s="9">
        <f t="shared" si="17"/>
        <v>5.9903947999999998</v>
      </c>
      <c r="M114" s="9">
        <f t="shared" si="18"/>
        <v>5.9903947999999998</v>
      </c>
      <c r="N114" s="9" t="str">
        <f t="shared" si="19"/>
        <v/>
      </c>
      <c r="O114" s="4" t="s">
        <v>755</v>
      </c>
      <c r="P114" s="1" t="s">
        <v>1693</v>
      </c>
      <c r="Q114" s="7" t="s">
        <v>1585</v>
      </c>
      <c r="R114" s="7" t="s">
        <v>1586</v>
      </c>
      <c r="S114" s="8" t="s">
        <v>1587</v>
      </c>
      <c r="T114" s="7"/>
      <c r="U114" t="str">
        <f t="shared" si="20"/>
        <v/>
      </c>
      <c r="V114" t="str">
        <f t="shared" si="21"/>
        <v/>
      </c>
      <c r="W114" t="str">
        <f t="shared" si="22"/>
        <v/>
      </c>
      <c r="X114" t="str">
        <f t="shared" si="23"/>
        <v/>
      </c>
      <c r="Y114" t="e">
        <f>VLOOKUP($A114,Runs!$G:$G,1,FALSE)</f>
        <v>#N/A</v>
      </c>
    </row>
    <row r="115" spans="1:25" ht="22.5" customHeight="1" x14ac:dyDescent="0.25">
      <c r="A115" s="2" t="s">
        <v>295</v>
      </c>
      <c r="B115" s="2" t="s">
        <v>296</v>
      </c>
      <c r="C115" s="3">
        <v>8.9999999999999993E-3</v>
      </c>
      <c r="D115" s="6" t="s">
        <v>242</v>
      </c>
      <c r="E115">
        <f>(30-C115*100)*VLOOKUP($D115,Calc!$A$1:$C$6,3,FALSE)</f>
        <v>72.75</v>
      </c>
      <c r="F115" s="6">
        <f>VLOOKUP(D115,Calc!$A$1:$B$6,2,FALSE)</f>
        <v>3</v>
      </c>
      <c r="G115" s="10">
        <f t="shared" si="12"/>
        <v>9.2999999999999992E-3</v>
      </c>
      <c r="H115" s="9">
        <f t="shared" si="13"/>
        <v>8.7000000000000001E-5</v>
      </c>
      <c r="I115" s="10">
        <f t="shared" si="14"/>
        <v>9.3086999999999996E-3</v>
      </c>
      <c r="J115" s="10" t="str">
        <f t="shared" si="15"/>
        <v/>
      </c>
      <c r="K115" s="10">
        <f t="shared" si="16"/>
        <v>9.3086999999999996E-3</v>
      </c>
      <c r="L115" s="9">
        <f t="shared" si="17"/>
        <v>2.9906912999999999</v>
      </c>
      <c r="M115" s="9" t="str">
        <f t="shared" si="18"/>
        <v/>
      </c>
      <c r="N115" s="9">
        <f t="shared" si="19"/>
        <v>2.9906912999999999</v>
      </c>
      <c r="O115" s="4"/>
      <c r="Q115" s="7" t="s">
        <v>1120</v>
      </c>
      <c r="R115" s="7" t="s">
        <v>1121</v>
      </c>
      <c r="S115" s="8" t="s">
        <v>1122</v>
      </c>
      <c r="T115" s="7"/>
      <c r="U115" t="str">
        <f t="shared" si="20"/>
        <v/>
      </c>
      <c r="V115">
        <f t="shared" si="21"/>
        <v>9.3086999999999996E-3</v>
      </c>
      <c r="W115" t="str">
        <f t="shared" si="22"/>
        <v/>
      </c>
      <c r="X115" t="str">
        <f t="shared" si="23"/>
        <v/>
      </c>
      <c r="Y115" t="e">
        <f>VLOOKUP($A115,Runs!$G:$G,1,FALSE)</f>
        <v>#N/A</v>
      </c>
    </row>
    <row r="116" spans="1:25" ht="22.5" customHeight="1" x14ac:dyDescent="0.25">
      <c r="A116" s="2" t="s">
        <v>404</v>
      </c>
      <c r="B116" s="2" t="s">
        <v>665</v>
      </c>
      <c r="C116" s="3">
        <v>8.9999999999999993E-3</v>
      </c>
      <c r="D116" s="6" t="s">
        <v>242</v>
      </c>
      <c r="E116">
        <f>(30-C116*100)*VLOOKUP($D116,Calc!$A$1:$C$6,3,FALSE)</f>
        <v>72.75</v>
      </c>
      <c r="F116" s="6">
        <f>VLOOKUP(D116,Calc!$A$1:$B$6,2,FALSE)</f>
        <v>3</v>
      </c>
      <c r="G116" s="10">
        <f t="shared" si="12"/>
        <v>9.2999999999999992E-3</v>
      </c>
      <c r="H116" s="9">
        <f t="shared" si="13"/>
        <v>7.9999999999999996E-6</v>
      </c>
      <c r="I116" s="10">
        <f t="shared" si="14"/>
        <v>9.3007999999999997E-3</v>
      </c>
      <c r="J116" s="10">
        <f t="shared" si="15"/>
        <v>9.3007999999999997E-3</v>
      </c>
      <c r="K116" s="10" t="str">
        <f t="shared" si="16"/>
        <v/>
      </c>
      <c r="L116" s="9">
        <f t="shared" si="17"/>
        <v>2.9906991999999999</v>
      </c>
      <c r="M116" s="9">
        <f t="shared" si="18"/>
        <v>2.9906991999999999</v>
      </c>
      <c r="N116" s="9" t="str">
        <f t="shared" si="19"/>
        <v/>
      </c>
      <c r="O116" s="4" t="s">
        <v>755</v>
      </c>
      <c r="P116" s="1" t="s">
        <v>1875</v>
      </c>
      <c r="Q116" s="7"/>
      <c r="R116" s="8" t="s">
        <v>1335</v>
      </c>
      <c r="S116" s="7"/>
      <c r="T116" s="7" t="s">
        <v>1336</v>
      </c>
      <c r="U116" t="str">
        <f t="shared" si="20"/>
        <v/>
      </c>
      <c r="V116" t="str">
        <f t="shared" si="21"/>
        <v/>
      </c>
      <c r="W116" t="str">
        <f t="shared" si="22"/>
        <v/>
      </c>
      <c r="X116" t="str">
        <f t="shared" si="23"/>
        <v/>
      </c>
      <c r="Y116" t="str">
        <f>VLOOKUP($A116,Runs!$G:$G,1,FALSE)</f>
        <v>For the Emperor!</v>
      </c>
    </row>
    <row r="117" spans="1:25" ht="22.5" customHeight="1" x14ac:dyDescent="0.25">
      <c r="A117" s="2" t="s">
        <v>571</v>
      </c>
      <c r="B117" s="2" t="s">
        <v>572</v>
      </c>
      <c r="C117" s="3">
        <v>8.9999999999999993E-3</v>
      </c>
      <c r="D117" s="6" t="s">
        <v>573</v>
      </c>
      <c r="E117">
        <f>(30-C117*100)*VLOOKUP($D117,Calc!$A$1:$C$6,3,FALSE)</f>
        <v>291</v>
      </c>
      <c r="F117" s="6">
        <f>VLOOKUP(D117,Calc!$A$1:$B$6,2,FALSE)</f>
        <v>5</v>
      </c>
      <c r="G117" s="10">
        <f t="shared" si="12"/>
        <v>9.4999999999999998E-3</v>
      </c>
      <c r="H117" s="9">
        <f t="shared" si="13"/>
        <v>5.3000000000000001E-5</v>
      </c>
      <c r="I117" s="10">
        <f t="shared" si="14"/>
        <v>9.5052999999999995E-3</v>
      </c>
      <c r="J117" s="10">
        <f t="shared" si="15"/>
        <v>9.5052999999999995E-3</v>
      </c>
      <c r="K117" s="10" t="str">
        <f t="shared" si="16"/>
        <v/>
      </c>
      <c r="L117" s="9">
        <f t="shared" si="17"/>
        <v>4.9904947000000002</v>
      </c>
      <c r="M117" s="9">
        <f t="shared" si="18"/>
        <v>4.9904947000000002</v>
      </c>
      <c r="N117" s="9" t="str">
        <f t="shared" si="19"/>
        <v/>
      </c>
      <c r="O117" s="4" t="s">
        <v>755</v>
      </c>
      <c r="P117" s="1" t="s">
        <v>1690</v>
      </c>
      <c r="Q117" s="7" t="s">
        <v>1216</v>
      </c>
      <c r="R117" s="8" t="s">
        <v>1217</v>
      </c>
      <c r="S117" s="7"/>
      <c r="T117" s="7"/>
      <c r="U117" t="str">
        <f t="shared" si="20"/>
        <v/>
      </c>
      <c r="V117" t="str">
        <f t="shared" si="21"/>
        <v/>
      </c>
      <c r="W117" t="str">
        <f t="shared" si="22"/>
        <v/>
      </c>
      <c r="X117" t="str">
        <f t="shared" si="23"/>
        <v/>
      </c>
      <c r="Y117" t="e">
        <f>VLOOKUP($A117,Runs!$G:$G,1,FALSE)</f>
        <v>#N/A</v>
      </c>
    </row>
    <row r="118" spans="1:25" ht="22.5" customHeight="1" x14ac:dyDescent="0.25">
      <c r="A118" s="2" t="s">
        <v>601</v>
      </c>
      <c r="B118" s="2" t="s">
        <v>710</v>
      </c>
      <c r="C118" s="3">
        <v>8.9999999999999993E-3</v>
      </c>
      <c r="D118" s="6" t="s">
        <v>573</v>
      </c>
      <c r="E118">
        <f>(30-C118*100)*VLOOKUP($D118,Calc!$A$1:$C$6,3,FALSE)</f>
        <v>291</v>
      </c>
      <c r="F118" s="6">
        <f>VLOOKUP(D118,Calc!$A$1:$B$6,2,FALSE)</f>
        <v>5</v>
      </c>
      <c r="G118" s="10">
        <f t="shared" si="12"/>
        <v>9.4999999999999998E-3</v>
      </c>
      <c r="H118" s="9">
        <f t="shared" si="13"/>
        <v>3.1999999999999999E-5</v>
      </c>
      <c r="I118" s="10">
        <f t="shared" si="14"/>
        <v>9.5031999999999998E-3</v>
      </c>
      <c r="J118" s="10" t="str">
        <f t="shared" si="15"/>
        <v/>
      </c>
      <c r="K118" s="10">
        <f t="shared" si="16"/>
        <v>9.5031999999999998E-3</v>
      </c>
      <c r="L118" s="9">
        <f t="shared" si="17"/>
        <v>4.9904967999999998</v>
      </c>
      <c r="M118" s="9" t="str">
        <f t="shared" si="18"/>
        <v/>
      </c>
      <c r="N118" s="9">
        <f t="shared" si="19"/>
        <v>4.9904967999999998</v>
      </c>
      <c r="O118" s="4"/>
      <c r="Q118" s="7" t="s">
        <v>1531</v>
      </c>
      <c r="R118" s="7" t="s">
        <v>1532</v>
      </c>
      <c r="S118" s="2" t="s">
        <v>1533</v>
      </c>
      <c r="T118" s="7"/>
      <c r="U118" t="str">
        <f t="shared" si="20"/>
        <v/>
      </c>
      <c r="V118" t="str">
        <f t="shared" si="21"/>
        <v/>
      </c>
      <c r="W118" t="str">
        <f t="shared" si="22"/>
        <v/>
      </c>
      <c r="X118" t="str">
        <f t="shared" si="23"/>
        <v/>
      </c>
      <c r="Y118" t="str">
        <f>VLOOKUP($A118,Runs!$G:$G,1,FALSE)</f>
        <v>Rags and Riches</v>
      </c>
    </row>
    <row r="119" spans="1:25" ht="22.5" customHeight="1" x14ac:dyDescent="0.25">
      <c r="A119" s="2" t="s">
        <v>589</v>
      </c>
      <c r="B119" s="2" t="s">
        <v>590</v>
      </c>
      <c r="C119" s="3">
        <v>8.9999999999999993E-3</v>
      </c>
      <c r="D119" s="6" t="s">
        <v>573</v>
      </c>
      <c r="E119">
        <f>(30-C119*100)*VLOOKUP($D119,Calc!$A$1:$C$6,3,FALSE)</f>
        <v>291</v>
      </c>
      <c r="F119" s="6">
        <f>VLOOKUP(D119,Calc!$A$1:$B$6,2,FALSE)</f>
        <v>5</v>
      </c>
      <c r="G119" s="10">
        <f t="shared" si="12"/>
        <v>9.4999999999999998E-3</v>
      </c>
      <c r="H119" s="9">
        <f t="shared" si="13"/>
        <v>3.8999999999999999E-5</v>
      </c>
      <c r="I119" s="10">
        <f t="shared" si="14"/>
        <v>9.5038999999999992E-3</v>
      </c>
      <c r="J119" s="10" t="str">
        <f t="shared" si="15"/>
        <v/>
      </c>
      <c r="K119" s="10">
        <f t="shared" si="16"/>
        <v>9.5038999999999992E-3</v>
      </c>
      <c r="L119" s="9">
        <f t="shared" si="17"/>
        <v>4.9904960999999997</v>
      </c>
      <c r="M119" s="9" t="str">
        <f t="shared" si="18"/>
        <v/>
      </c>
      <c r="N119" s="9">
        <f t="shared" si="19"/>
        <v>4.9904960999999997</v>
      </c>
      <c r="O119" s="4"/>
      <c r="Q119" s="7" t="s">
        <v>1502</v>
      </c>
      <c r="R119" s="7" t="s">
        <v>1503</v>
      </c>
      <c r="S119" s="8" t="s">
        <v>1504</v>
      </c>
      <c r="T119" s="7"/>
      <c r="U119" t="str">
        <f t="shared" si="20"/>
        <v/>
      </c>
      <c r="V119" t="str">
        <f t="shared" si="21"/>
        <v/>
      </c>
      <c r="W119" t="str">
        <f t="shared" si="22"/>
        <v/>
      </c>
      <c r="X119" t="str">
        <f t="shared" si="23"/>
        <v/>
      </c>
      <c r="Y119" t="str">
        <f>VLOOKUP($A119,Runs!$G:$G,1,FALSE)</f>
        <v>Gothic Invasion</v>
      </c>
    </row>
    <row r="120" spans="1:25" ht="22.5" customHeight="1" x14ac:dyDescent="0.25">
      <c r="A120" s="2" t="s">
        <v>170</v>
      </c>
      <c r="B120" s="2" t="s">
        <v>171</v>
      </c>
      <c r="C120" s="3">
        <v>0.01</v>
      </c>
      <c r="D120" s="6" t="s">
        <v>105</v>
      </c>
      <c r="E120">
        <f>(30-C120*100)*VLOOKUP($D120,Calc!$A$1:$C$6,3,FALSE)</f>
        <v>29</v>
      </c>
      <c r="F120" s="6">
        <f>VLOOKUP(D120,Calc!$A$1:$B$6,2,FALSE)</f>
        <v>2</v>
      </c>
      <c r="G120" s="10">
        <f t="shared" si="12"/>
        <v>1.0200000000000001E-2</v>
      </c>
      <c r="H120" s="9">
        <f t="shared" si="13"/>
        <v>3.0000000000000001E-6</v>
      </c>
      <c r="I120" s="10">
        <f t="shared" si="14"/>
        <v>1.0200300000000001E-2</v>
      </c>
      <c r="J120" s="10">
        <f t="shared" si="15"/>
        <v>1.0200300000000001E-2</v>
      </c>
      <c r="K120" s="10" t="str">
        <f t="shared" si="16"/>
        <v/>
      </c>
      <c r="L120" s="9">
        <f t="shared" si="17"/>
        <v>1.9897997000000001</v>
      </c>
      <c r="M120" s="9">
        <f t="shared" si="18"/>
        <v>1.9897997000000001</v>
      </c>
      <c r="N120" s="9" t="str">
        <f t="shared" si="19"/>
        <v/>
      </c>
      <c r="O120" s="4" t="s">
        <v>755</v>
      </c>
      <c r="P120" s="1" t="s">
        <v>1911</v>
      </c>
      <c r="Q120" s="7" t="s">
        <v>976</v>
      </c>
      <c r="R120" s="7" t="s">
        <v>977</v>
      </c>
      <c r="S120" s="8" t="s">
        <v>978</v>
      </c>
      <c r="T120" s="7"/>
      <c r="U120" t="str">
        <f t="shared" si="20"/>
        <v/>
      </c>
      <c r="V120" t="str">
        <f t="shared" si="21"/>
        <v/>
      </c>
      <c r="W120" t="str">
        <f t="shared" si="22"/>
        <v/>
      </c>
      <c r="X120" t="str">
        <f t="shared" si="23"/>
        <v/>
      </c>
      <c r="Y120" t="str">
        <f>VLOOKUP($A120,Runs!$G:$G,1,FALSE)</f>
        <v>On the Edge of Madness</v>
      </c>
    </row>
    <row r="121" spans="1:25" ht="22.5" customHeight="1" x14ac:dyDescent="0.25">
      <c r="A121" s="2" t="s">
        <v>215</v>
      </c>
      <c r="B121" s="2" t="s">
        <v>216</v>
      </c>
      <c r="C121" s="3">
        <v>0.01</v>
      </c>
      <c r="D121" s="6" t="s">
        <v>105</v>
      </c>
      <c r="E121">
        <f>(30-C121*100)*VLOOKUP($D121,Calc!$A$1:$C$6,3,FALSE)</f>
        <v>29</v>
      </c>
      <c r="F121" s="6">
        <f>VLOOKUP(D121,Calc!$A$1:$B$6,2,FALSE)</f>
        <v>2</v>
      </c>
      <c r="G121" s="10">
        <f t="shared" si="12"/>
        <v>1.0200000000000001E-2</v>
      </c>
      <c r="H121" s="9">
        <f t="shared" si="13"/>
        <v>1.02E-4</v>
      </c>
      <c r="I121" s="10">
        <f t="shared" si="14"/>
        <v>1.0210200000000001E-2</v>
      </c>
      <c r="J121" s="10" t="str">
        <f t="shared" si="15"/>
        <v/>
      </c>
      <c r="K121" s="10">
        <f t="shared" si="16"/>
        <v>1.0210200000000001E-2</v>
      </c>
      <c r="L121" s="9">
        <f t="shared" si="17"/>
        <v>1.9897898000000001</v>
      </c>
      <c r="M121" s="9" t="str">
        <f t="shared" si="18"/>
        <v/>
      </c>
      <c r="N121" s="9">
        <f t="shared" si="19"/>
        <v>1.9897898000000001</v>
      </c>
      <c r="O121" s="4"/>
      <c r="Q121" s="7" t="s">
        <v>959</v>
      </c>
      <c r="R121" s="7" t="s">
        <v>1080</v>
      </c>
      <c r="S121" s="7" t="s">
        <v>1081</v>
      </c>
      <c r="T121" s="7" t="s">
        <v>770</v>
      </c>
      <c r="U121">
        <f t="shared" si="20"/>
        <v>1.0210200000000001E-2</v>
      </c>
      <c r="V121" t="str">
        <f t="shared" si="21"/>
        <v/>
      </c>
      <c r="W121" t="str">
        <f t="shared" si="22"/>
        <v/>
      </c>
      <c r="X121" t="str">
        <f t="shared" si="23"/>
        <v/>
      </c>
      <c r="Y121" t="e">
        <f>VLOOKUP($A121,Runs!$G:$G,1,FALSE)</f>
        <v>#N/A</v>
      </c>
    </row>
    <row r="122" spans="1:25" ht="22.5" customHeight="1" x14ac:dyDescent="0.25">
      <c r="A122" s="2" t="s">
        <v>495</v>
      </c>
      <c r="B122" s="2" t="s">
        <v>703</v>
      </c>
      <c r="C122" s="3">
        <v>0.01</v>
      </c>
      <c r="D122" s="6" t="s">
        <v>434</v>
      </c>
      <c r="E122">
        <f>(30-C122*100)*VLOOKUP($D122,Calc!$A$1:$C$6,3,FALSE)</f>
        <v>145</v>
      </c>
      <c r="F122" s="6">
        <f>VLOOKUP(D122,Calc!$A$1:$B$6,2,FALSE)</f>
        <v>4</v>
      </c>
      <c r="G122" s="10">
        <f t="shared" si="12"/>
        <v>1.04E-2</v>
      </c>
      <c r="H122" s="9">
        <f t="shared" si="13"/>
        <v>1.5999999999999999E-5</v>
      </c>
      <c r="I122" s="10">
        <f t="shared" si="14"/>
        <v>1.0401599999999999E-2</v>
      </c>
      <c r="J122" s="10">
        <f t="shared" si="15"/>
        <v>1.0401599999999999E-2</v>
      </c>
      <c r="K122" s="10" t="str">
        <f t="shared" si="16"/>
        <v/>
      </c>
      <c r="L122" s="9">
        <f t="shared" si="17"/>
        <v>3.9895984000000002</v>
      </c>
      <c r="M122" s="9">
        <f t="shared" si="18"/>
        <v>3.9895984000000002</v>
      </c>
      <c r="N122" s="9" t="str">
        <f t="shared" si="19"/>
        <v/>
      </c>
      <c r="O122" s="4" t="s">
        <v>755</v>
      </c>
      <c r="P122" s="1" t="s">
        <v>1711</v>
      </c>
      <c r="Q122" s="7" t="s">
        <v>1380</v>
      </c>
      <c r="R122" s="8" t="s">
        <v>1381</v>
      </c>
      <c r="S122" s="7"/>
      <c r="T122" s="7"/>
      <c r="U122" t="str">
        <f t="shared" si="20"/>
        <v/>
      </c>
      <c r="V122" t="str">
        <f t="shared" si="21"/>
        <v/>
      </c>
      <c r="W122" t="str">
        <f t="shared" si="22"/>
        <v/>
      </c>
      <c r="X122" t="str">
        <f t="shared" si="23"/>
        <v/>
      </c>
      <c r="Y122" t="e">
        <f>VLOOKUP($A122,Runs!$G:$G,1,FALSE)</f>
        <v>#N/A</v>
      </c>
    </row>
    <row r="123" spans="1:25" ht="22.5" customHeight="1" x14ac:dyDescent="0.25">
      <c r="A123" s="2" t="s">
        <v>420</v>
      </c>
      <c r="B123" s="2" t="s">
        <v>421</v>
      </c>
      <c r="C123" s="3">
        <v>0.01</v>
      </c>
      <c r="D123" s="6" t="s">
        <v>242</v>
      </c>
      <c r="E123">
        <f>(30-C123*100)*VLOOKUP($D123,Calc!$A$1:$C$6,3,FALSE)</f>
        <v>72.5</v>
      </c>
      <c r="F123" s="6">
        <f>VLOOKUP(D123,Calc!$A$1:$B$6,2,FALSE)</f>
        <v>3</v>
      </c>
      <c r="G123" s="10">
        <f t="shared" si="12"/>
        <v>1.03E-2</v>
      </c>
      <c r="H123" s="9">
        <f t="shared" si="13"/>
        <v>5.7000000000000003E-5</v>
      </c>
      <c r="I123" s="10">
        <f t="shared" si="14"/>
        <v>1.0305700000000001E-2</v>
      </c>
      <c r="J123" s="10">
        <f t="shared" si="15"/>
        <v>1.0305700000000001E-2</v>
      </c>
      <c r="K123" s="10" t="str">
        <f t="shared" si="16"/>
        <v/>
      </c>
      <c r="L123" s="9">
        <f t="shared" si="17"/>
        <v>2.9896943</v>
      </c>
      <c r="M123" s="9">
        <f t="shared" si="18"/>
        <v>2.9896943</v>
      </c>
      <c r="N123" s="9" t="str">
        <f t="shared" si="19"/>
        <v/>
      </c>
      <c r="O123" s="4" t="s">
        <v>755</v>
      </c>
      <c r="P123" s="1" t="s">
        <v>2049</v>
      </c>
      <c r="Q123" s="7" t="s">
        <v>866</v>
      </c>
      <c r="R123" s="7" t="s">
        <v>1458</v>
      </c>
      <c r="S123" s="7" t="s">
        <v>1459</v>
      </c>
      <c r="T123" s="7" t="s">
        <v>770</v>
      </c>
      <c r="U123" t="str">
        <f t="shared" si="20"/>
        <v/>
      </c>
      <c r="V123" t="str">
        <f t="shared" si="21"/>
        <v/>
      </c>
      <c r="W123" t="str">
        <f t="shared" si="22"/>
        <v/>
      </c>
      <c r="X123" t="str">
        <f t="shared" si="23"/>
        <v/>
      </c>
      <c r="Y123" t="str">
        <f>VLOOKUP($A123,Runs!$G:$G,1,FALSE)</f>
        <v>Yarr Harr a Pirate's Life For Me</v>
      </c>
    </row>
    <row r="124" spans="1:25" ht="22.5" customHeight="1" x14ac:dyDescent="0.25">
      <c r="A124" s="2" t="s">
        <v>346</v>
      </c>
      <c r="B124" s="2" t="s">
        <v>347</v>
      </c>
      <c r="C124" s="3">
        <v>0.01</v>
      </c>
      <c r="D124" s="6" t="s">
        <v>242</v>
      </c>
      <c r="E124">
        <f>(30-C124*100)*VLOOKUP($D124,Calc!$A$1:$C$6,3,FALSE)</f>
        <v>72.5</v>
      </c>
      <c r="F124" s="6">
        <f>VLOOKUP(D124,Calc!$A$1:$B$6,2,FALSE)</f>
        <v>3</v>
      </c>
      <c r="G124" s="10">
        <f t="shared" si="12"/>
        <v>1.03E-2</v>
      </c>
      <c r="H124" s="9">
        <f t="shared" si="13"/>
        <v>1E-4</v>
      </c>
      <c r="I124" s="10">
        <f t="shared" si="14"/>
        <v>1.031E-2</v>
      </c>
      <c r="J124" s="10">
        <f t="shared" si="15"/>
        <v>1.031E-2</v>
      </c>
      <c r="K124" s="10" t="str">
        <f t="shared" si="16"/>
        <v/>
      </c>
      <c r="L124" s="9">
        <f t="shared" si="17"/>
        <v>2.98969</v>
      </c>
      <c r="M124" s="9">
        <f t="shared" si="18"/>
        <v>2.98969</v>
      </c>
      <c r="N124" s="9" t="str">
        <f t="shared" si="19"/>
        <v/>
      </c>
      <c r="O124" s="4" t="s">
        <v>1662</v>
      </c>
      <c r="P124" s="1" t="s">
        <v>1661</v>
      </c>
      <c r="Q124" s="7" t="s">
        <v>1207</v>
      </c>
      <c r="R124" s="8" t="s">
        <v>1208</v>
      </c>
      <c r="S124" s="7"/>
      <c r="T124" s="7"/>
      <c r="U124" t="str">
        <f t="shared" si="20"/>
        <v/>
      </c>
      <c r="V124" t="str">
        <f t="shared" si="21"/>
        <v/>
      </c>
      <c r="W124" t="str">
        <f t="shared" si="22"/>
        <v/>
      </c>
      <c r="X124" t="str">
        <f t="shared" si="23"/>
        <v/>
      </c>
      <c r="Y124" t="str">
        <f>VLOOKUP($A124,Runs!$G:$G,1,FALSE)</f>
        <v>Tatarstan</v>
      </c>
    </row>
    <row r="125" spans="1:25" ht="22.5" customHeight="1" x14ac:dyDescent="0.25">
      <c r="A125" s="2" t="s">
        <v>334</v>
      </c>
      <c r="B125" s="2" t="s">
        <v>335</v>
      </c>
      <c r="C125" s="3">
        <v>0.01</v>
      </c>
      <c r="D125" s="6" t="s">
        <v>242</v>
      </c>
      <c r="E125">
        <f>(30-C125*100)*VLOOKUP($D125,Calc!$A$1:$C$6,3,FALSE)</f>
        <v>72.5</v>
      </c>
      <c r="F125" s="6">
        <f>VLOOKUP(D125,Calc!$A$1:$B$6,2,FALSE)</f>
        <v>3</v>
      </c>
      <c r="G125" s="10">
        <f t="shared" si="12"/>
        <v>1.03E-2</v>
      </c>
      <c r="H125" s="9">
        <f t="shared" si="13"/>
        <v>9.2999999999999997E-5</v>
      </c>
      <c r="I125" s="10">
        <f t="shared" si="14"/>
        <v>1.03093E-2</v>
      </c>
      <c r="J125" s="10">
        <f t="shared" si="15"/>
        <v>1.03093E-2</v>
      </c>
      <c r="K125" s="10" t="str">
        <f t="shared" si="16"/>
        <v/>
      </c>
      <c r="L125" s="9">
        <f t="shared" si="17"/>
        <v>2.9896907000000001</v>
      </c>
      <c r="M125" s="9">
        <f t="shared" si="18"/>
        <v>2.9896907000000001</v>
      </c>
      <c r="N125" s="9" t="str">
        <f t="shared" si="19"/>
        <v/>
      </c>
      <c r="O125" s="4" t="s">
        <v>755</v>
      </c>
      <c r="P125" s="1" t="s">
        <v>1693</v>
      </c>
      <c r="Q125" s="7"/>
      <c r="R125" s="7" t="s">
        <v>1191</v>
      </c>
      <c r="S125" s="8" t="s">
        <v>1192</v>
      </c>
      <c r="T125" s="7"/>
      <c r="U125" t="str">
        <f t="shared" si="20"/>
        <v/>
      </c>
      <c r="V125" t="str">
        <f t="shared" si="21"/>
        <v/>
      </c>
      <c r="W125" t="str">
        <f t="shared" si="22"/>
        <v/>
      </c>
      <c r="X125" t="str">
        <f t="shared" si="23"/>
        <v/>
      </c>
      <c r="Y125" t="e">
        <f>VLOOKUP($A125,Runs!$G:$G,1,FALSE)</f>
        <v>#N/A</v>
      </c>
    </row>
    <row r="126" spans="1:25" ht="22.5" customHeight="1" x14ac:dyDescent="0.25">
      <c r="A126" s="2" t="s">
        <v>332</v>
      </c>
      <c r="B126" s="2" t="s">
        <v>711</v>
      </c>
      <c r="C126" s="3">
        <v>0.01</v>
      </c>
      <c r="D126" s="6" t="s">
        <v>242</v>
      </c>
      <c r="E126">
        <f>(30-C126*100)*VLOOKUP($D126,Calc!$A$1:$C$6,3,FALSE)</f>
        <v>72.5</v>
      </c>
      <c r="F126" s="6">
        <f>VLOOKUP(D126,Calc!$A$1:$B$6,2,FALSE)</f>
        <v>3</v>
      </c>
      <c r="G126" s="10">
        <f t="shared" si="12"/>
        <v>1.03E-2</v>
      </c>
      <c r="H126" s="9">
        <f t="shared" si="13"/>
        <v>8.2000000000000001E-5</v>
      </c>
      <c r="I126" s="10">
        <f t="shared" si="14"/>
        <v>1.03082E-2</v>
      </c>
      <c r="J126" s="10" t="str">
        <f t="shared" si="15"/>
        <v/>
      </c>
      <c r="K126" s="10">
        <f t="shared" si="16"/>
        <v>1.03082E-2</v>
      </c>
      <c r="L126" s="9">
        <f t="shared" si="17"/>
        <v>2.9896918000000001</v>
      </c>
      <c r="M126" s="9" t="str">
        <f t="shared" si="18"/>
        <v/>
      </c>
      <c r="N126" s="9">
        <f t="shared" si="19"/>
        <v>2.9896918000000001</v>
      </c>
      <c r="O126" s="4"/>
      <c r="Q126" s="7" t="s">
        <v>1178</v>
      </c>
      <c r="R126" s="7" t="s">
        <v>1179</v>
      </c>
      <c r="S126" s="7" t="s">
        <v>1180</v>
      </c>
      <c r="T126" s="7" t="s">
        <v>775</v>
      </c>
      <c r="U126" t="str">
        <f t="shared" si="20"/>
        <v/>
      </c>
      <c r="V126">
        <f t="shared" si="21"/>
        <v>1.03082E-2</v>
      </c>
      <c r="W126" t="str">
        <f t="shared" si="22"/>
        <v/>
      </c>
      <c r="X126" t="str">
        <f t="shared" si="23"/>
        <v/>
      </c>
      <c r="Y126" t="str">
        <f>VLOOKUP($A126,Runs!$G:$G,1,FALSE)</f>
        <v>Rekindling the Flames</v>
      </c>
    </row>
    <row r="127" spans="1:25" ht="22.5" customHeight="1" x14ac:dyDescent="0.25">
      <c r="A127" s="2" t="s">
        <v>327</v>
      </c>
      <c r="B127" s="2" t="s">
        <v>702</v>
      </c>
      <c r="C127" s="3">
        <v>0.01</v>
      </c>
      <c r="D127" s="6" t="s">
        <v>242</v>
      </c>
      <c r="E127">
        <f>(30-C127*100)*VLOOKUP($D127,Calc!$A$1:$C$6,3,FALSE)</f>
        <v>72.5</v>
      </c>
      <c r="F127" s="6">
        <f>VLOOKUP(D127,Calc!$A$1:$B$6,2,FALSE)</f>
        <v>3</v>
      </c>
      <c r="G127" s="10">
        <f t="shared" si="12"/>
        <v>1.03E-2</v>
      </c>
      <c r="H127" s="9">
        <f t="shared" si="13"/>
        <v>5.7000000000000003E-5</v>
      </c>
      <c r="I127" s="10">
        <f t="shared" si="14"/>
        <v>1.0305700000000001E-2</v>
      </c>
      <c r="J127" s="10" t="str">
        <f t="shared" si="15"/>
        <v/>
      </c>
      <c r="K127" s="10">
        <f t="shared" si="16"/>
        <v>1.0305700000000001E-2</v>
      </c>
      <c r="L127" s="9">
        <f t="shared" si="17"/>
        <v>2.9896943</v>
      </c>
      <c r="M127" s="9" t="str">
        <f t="shared" si="18"/>
        <v/>
      </c>
      <c r="N127" s="9">
        <f t="shared" si="19"/>
        <v>2.9896943</v>
      </c>
      <c r="O127" s="4"/>
      <c r="Q127" s="7" t="s">
        <v>1170</v>
      </c>
      <c r="R127" s="8" t="s">
        <v>1171</v>
      </c>
      <c r="S127" s="7"/>
      <c r="T127" s="7"/>
      <c r="U127" t="str">
        <f t="shared" si="20"/>
        <v/>
      </c>
      <c r="V127">
        <f t="shared" si="21"/>
        <v>1.0305700000000001E-2</v>
      </c>
      <c r="W127" t="str">
        <f t="shared" si="22"/>
        <v/>
      </c>
      <c r="X127" t="str">
        <f t="shared" si="23"/>
        <v/>
      </c>
      <c r="Y127" t="str">
        <f>VLOOKUP($A127,Runs!$G:$G,1,FALSE)</f>
        <v>No Trail of Tears</v>
      </c>
    </row>
    <row r="128" spans="1:25" ht="22.5" customHeight="1" x14ac:dyDescent="0.25">
      <c r="A128" s="2" t="s">
        <v>423</v>
      </c>
      <c r="B128" s="2" t="s">
        <v>663</v>
      </c>
      <c r="C128" s="3">
        <v>0.01</v>
      </c>
      <c r="D128" s="6" t="s">
        <v>242</v>
      </c>
      <c r="E128">
        <f>(30-C128*100)*VLOOKUP($D128,Calc!$A$1:$C$6,3,FALSE)</f>
        <v>72.5</v>
      </c>
      <c r="F128" s="6">
        <f>VLOOKUP(D128,Calc!$A$1:$B$6,2,FALSE)</f>
        <v>3</v>
      </c>
      <c r="G128" s="10">
        <f t="shared" si="12"/>
        <v>1.03E-2</v>
      </c>
      <c r="H128" s="9">
        <f t="shared" si="13"/>
        <v>5.8E-5</v>
      </c>
      <c r="I128" s="10">
        <f t="shared" si="14"/>
        <v>1.03058E-2</v>
      </c>
      <c r="J128" s="10">
        <f t="shared" si="15"/>
        <v>1.03058E-2</v>
      </c>
      <c r="K128" s="10" t="str">
        <f t="shared" si="16"/>
        <v/>
      </c>
      <c r="L128" s="9">
        <f t="shared" si="17"/>
        <v>2.9896942000000002</v>
      </c>
      <c r="M128" s="9">
        <f t="shared" si="18"/>
        <v>2.9896942000000002</v>
      </c>
      <c r="N128" s="9" t="str">
        <f t="shared" si="19"/>
        <v/>
      </c>
      <c r="O128" s="4" t="s">
        <v>755</v>
      </c>
      <c r="P128" s="1" t="s">
        <v>2048</v>
      </c>
      <c r="Q128" s="7" t="s">
        <v>1494</v>
      </c>
      <c r="R128" s="7" t="s">
        <v>1495</v>
      </c>
      <c r="S128" s="8" t="s">
        <v>1496</v>
      </c>
      <c r="T128" s="7"/>
      <c r="U128" t="str">
        <f t="shared" si="20"/>
        <v/>
      </c>
      <c r="V128" t="str">
        <f t="shared" si="21"/>
        <v/>
      </c>
      <c r="W128" t="str">
        <f t="shared" si="22"/>
        <v/>
      </c>
      <c r="X128" t="str">
        <f t="shared" si="23"/>
        <v/>
      </c>
      <c r="Y128" t="str">
        <f>VLOOKUP($A128,Runs!$G:$G,1,FALSE)</f>
        <v>First Come, First Serve</v>
      </c>
    </row>
    <row r="129" spans="1:25" ht="22.5" customHeight="1" x14ac:dyDescent="0.25">
      <c r="A129" s="2" t="s">
        <v>99</v>
      </c>
      <c r="B129" s="2" t="s">
        <v>100</v>
      </c>
      <c r="C129" s="3">
        <v>0.01</v>
      </c>
      <c r="D129" s="6" t="s">
        <v>2</v>
      </c>
      <c r="E129">
        <f>(30-C129*100)*VLOOKUP($D129,Calc!$A$1:$C$6,3,FALSE)</f>
        <v>14.5</v>
      </c>
      <c r="F129" s="6">
        <f>VLOOKUP(D129,Calc!$A$1:$B$6,2,FALSE)</f>
        <v>1</v>
      </c>
      <c r="G129" s="10">
        <f t="shared" si="12"/>
        <v>1.01E-2</v>
      </c>
      <c r="H129" s="9">
        <f t="shared" si="13"/>
        <v>5.8E-5</v>
      </c>
      <c r="I129" s="10">
        <f t="shared" si="14"/>
        <v>1.01058E-2</v>
      </c>
      <c r="J129" s="10" t="str">
        <f t="shared" si="15"/>
        <v/>
      </c>
      <c r="K129" s="10">
        <f t="shared" si="16"/>
        <v>1.01058E-2</v>
      </c>
      <c r="L129" s="9">
        <f t="shared" si="17"/>
        <v>0.98989419999999995</v>
      </c>
      <c r="M129" s="9" t="str">
        <f t="shared" si="18"/>
        <v/>
      </c>
      <c r="N129" s="9">
        <f t="shared" si="19"/>
        <v>0.98989419999999995</v>
      </c>
      <c r="O129" s="4"/>
      <c r="Q129" s="7" t="s">
        <v>1186</v>
      </c>
      <c r="R129" s="7" t="s">
        <v>1187</v>
      </c>
      <c r="S129" s="7" t="s">
        <v>1188</v>
      </c>
      <c r="T129" s="7" t="s">
        <v>770</v>
      </c>
      <c r="U129" t="str">
        <f t="shared" si="20"/>
        <v/>
      </c>
      <c r="V129" t="str">
        <f t="shared" si="21"/>
        <v/>
      </c>
      <c r="W129" t="str">
        <f t="shared" si="22"/>
        <v/>
      </c>
      <c r="X129">
        <f t="shared" si="23"/>
        <v>1.01058E-2</v>
      </c>
      <c r="Y129" t="e">
        <f>VLOOKUP($A129,Runs!$G:$G,1,FALSE)</f>
        <v>#N/A</v>
      </c>
    </row>
    <row r="130" spans="1:25" ht="22.5" customHeight="1" x14ac:dyDescent="0.25">
      <c r="A130" s="2" t="s">
        <v>611</v>
      </c>
      <c r="B130" s="2" t="s">
        <v>612</v>
      </c>
      <c r="C130" s="3">
        <v>0.01</v>
      </c>
      <c r="D130" s="6" t="s">
        <v>573</v>
      </c>
      <c r="E130">
        <f>(30-C130*100)*VLOOKUP($D130,Calc!$A$1:$C$6,3,FALSE)</f>
        <v>290</v>
      </c>
      <c r="F130" s="6">
        <f>VLOOKUP(D130,Calc!$A$1:$B$6,2,FALSE)</f>
        <v>5</v>
      </c>
      <c r="G130" s="10">
        <f t="shared" ref="G130:G193" si="24">C130+F130/10000</f>
        <v>1.0500000000000001E-2</v>
      </c>
      <c r="H130" s="9">
        <f t="shared" ref="H130:H193" si="25">( (CODE(UPPER(LEFT(A130,1)))-64)+(CODE(UPPER(RIGHT(LEFT(A130,2),1)))-64)+(CODE(UPPER(RIGHT(LEFT(A130,3),1)))-64)+(CODE(UPPER(RIGHT(LEFT(A130,4),1)))-64)+(CODE(UPPER(RIGHT(LEFT(A130,5),1)))-64)+(CODE(UPPER(RIGHT(LEFT(A130,6),1)))-64)+(CODE(UPPER(RIGHT(LEFT(A130,7),1)))-64)+(CODE(UPPER(RIGHT(LEFT(A130,8),1)))-64) )/1000000</f>
        <v>3.1999999999999999E-5</v>
      </c>
      <c r="I130" s="10">
        <f t="shared" ref="I130:I193" si="26">G130+H130/10</f>
        <v>1.0503200000000001E-2</v>
      </c>
      <c r="J130" s="10">
        <f t="shared" ref="J130:J193" si="27">IF($O130="","",I130)</f>
        <v>1.0503200000000001E-2</v>
      </c>
      <c r="K130" s="10" t="str">
        <f t="shared" ref="K130:K193" si="28">IF($O130="",I130,"")</f>
        <v/>
      </c>
      <c r="L130" s="9">
        <f t="shared" ref="L130:L193" si="29">F130-I130</f>
        <v>4.9894968000000004</v>
      </c>
      <c r="M130" s="9">
        <f t="shared" ref="M130:M193" si="30">IF($O130="","",L130)</f>
        <v>4.9894968000000004</v>
      </c>
      <c r="N130" s="9" t="str">
        <f t="shared" ref="N130:N193" si="31">IF($O130="",L130,"")</f>
        <v/>
      </c>
      <c r="O130" s="4" t="s">
        <v>755</v>
      </c>
      <c r="P130" s="1" t="s">
        <v>1899</v>
      </c>
      <c r="Q130" s="7" t="s">
        <v>1548</v>
      </c>
      <c r="R130" s="7" t="s">
        <v>1549</v>
      </c>
      <c r="S130" s="8" t="s">
        <v>1550</v>
      </c>
      <c r="T130" s="7"/>
      <c r="U130" t="str">
        <f t="shared" ref="U130:U193" si="32">IF($D130="E",K130,"")</f>
        <v/>
      </c>
      <c r="V130" t="str">
        <f t="shared" ref="V130:V193" si="33">IF($D130="M",K130,"")</f>
        <v/>
      </c>
      <c r="W130" t="str">
        <f t="shared" ref="W130:W193" si="34">IF($D130="H",K130,"")</f>
        <v/>
      </c>
      <c r="X130" t="str">
        <f t="shared" ref="X130:X193" si="35">IF($D130="VE",K130,"")</f>
        <v/>
      </c>
      <c r="Y130" t="str">
        <f>VLOOKUP($A130,Runs!$G:$G,1,FALSE)</f>
        <v>The Buddhists Strike Back</v>
      </c>
    </row>
    <row r="131" spans="1:25" ht="22.5" customHeight="1" x14ac:dyDescent="0.25">
      <c r="A131" s="2" t="s">
        <v>595</v>
      </c>
      <c r="B131" s="2" t="s">
        <v>596</v>
      </c>
      <c r="C131" s="3">
        <v>0.01</v>
      </c>
      <c r="D131" s="6" t="s">
        <v>573</v>
      </c>
      <c r="E131">
        <f>(30-C131*100)*VLOOKUP($D131,Calc!$A$1:$C$6,3,FALSE)</f>
        <v>290</v>
      </c>
      <c r="F131" s="6">
        <f>VLOOKUP(D131,Calc!$A$1:$B$6,2,FALSE)</f>
        <v>5</v>
      </c>
      <c r="G131" s="10">
        <f t="shared" si="24"/>
        <v>1.0500000000000001E-2</v>
      </c>
      <c r="H131" s="9">
        <f t="shared" si="25"/>
        <v>2.5000000000000001E-5</v>
      </c>
      <c r="I131" s="10">
        <f t="shared" si="26"/>
        <v>1.0502500000000001E-2</v>
      </c>
      <c r="J131" s="10">
        <f t="shared" si="27"/>
        <v>1.0502500000000001E-2</v>
      </c>
      <c r="K131" s="10" t="str">
        <f t="shared" si="28"/>
        <v/>
      </c>
      <c r="L131" s="9">
        <f t="shared" si="29"/>
        <v>4.9894974999999997</v>
      </c>
      <c r="M131" s="9">
        <f t="shared" si="30"/>
        <v>4.9894974999999997</v>
      </c>
      <c r="N131" s="9" t="str">
        <f t="shared" si="31"/>
        <v/>
      </c>
      <c r="O131" s="4" t="s">
        <v>755</v>
      </c>
      <c r="P131" s="1" t="s">
        <v>1663</v>
      </c>
      <c r="Q131" s="7"/>
      <c r="R131" s="8" t="s">
        <v>1514</v>
      </c>
      <c r="S131" s="7"/>
      <c r="T131" s="7"/>
      <c r="U131" t="str">
        <f t="shared" si="32"/>
        <v/>
      </c>
      <c r="V131" t="str">
        <f t="shared" si="33"/>
        <v/>
      </c>
      <c r="W131" t="str">
        <f t="shared" si="34"/>
        <v/>
      </c>
      <c r="X131" t="str">
        <f t="shared" si="35"/>
        <v/>
      </c>
      <c r="Y131" t="e">
        <f>VLOOKUP($A131,Runs!$G:$G,1,FALSE)</f>
        <v>#N/A</v>
      </c>
    </row>
    <row r="132" spans="1:25" ht="22.5" customHeight="1" x14ac:dyDescent="0.25">
      <c r="A132" s="2" t="s">
        <v>593</v>
      </c>
      <c r="B132" s="2" t="s">
        <v>594</v>
      </c>
      <c r="C132" s="3">
        <v>0.01</v>
      </c>
      <c r="D132" s="6" t="s">
        <v>573</v>
      </c>
      <c r="E132">
        <f>(30-C132*100)*VLOOKUP($D132,Calc!$A$1:$C$6,3,FALSE)</f>
        <v>290</v>
      </c>
      <c r="F132" s="6">
        <f>VLOOKUP(D132,Calc!$A$1:$B$6,2,FALSE)</f>
        <v>5</v>
      </c>
      <c r="G132" s="10">
        <f t="shared" si="24"/>
        <v>1.0500000000000001E-2</v>
      </c>
      <c r="H132" s="9">
        <f t="shared" si="25"/>
        <v>4.3999999999999999E-5</v>
      </c>
      <c r="I132" s="10">
        <f t="shared" si="26"/>
        <v>1.0504400000000001E-2</v>
      </c>
      <c r="J132" s="10">
        <f t="shared" si="27"/>
        <v>1.0504400000000001E-2</v>
      </c>
      <c r="K132" s="10" t="str">
        <f t="shared" si="28"/>
        <v/>
      </c>
      <c r="L132" s="9">
        <f t="shared" si="29"/>
        <v>4.9894955999999997</v>
      </c>
      <c r="M132" s="9">
        <f t="shared" si="30"/>
        <v>4.9894955999999997</v>
      </c>
      <c r="N132" s="9" t="str">
        <f t="shared" si="31"/>
        <v/>
      </c>
      <c r="O132" s="4" t="s">
        <v>755</v>
      </c>
      <c r="P132" s="1" t="s">
        <v>1666</v>
      </c>
      <c r="Q132" s="7" t="s">
        <v>1511</v>
      </c>
      <c r="R132" s="7" t="s">
        <v>1512</v>
      </c>
      <c r="S132" s="8" t="s">
        <v>1513</v>
      </c>
      <c r="T132" s="7"/>
      <c r="U132" t="str">
        <f t="shared" si="32"/>
        <v/>
      </c>
      <c r="V132" t="str">
        <f t="shared" si="33"/>
        <v/>
      </c>
      <c r="W132" t="str">
        <f t="shared" si="34"/>
        <v/>
      </c>
      <c r="X132" t="str">
        <f t="shared" si="35"/>
        <v/>
      </c>
      <c r="Y132" t="e">
        <f>VLOOKUP($A132,Runs!$G:$G,1,FALSE)</f>
        <v>#N/A</v>
      </c>
    </row>
    <row r="133" spans="1:25" ht="22.5" customHeight="1" x14ac:dyDescent="0.25">
      <c r="A133" s="2" t="s">
        <v>588</v>
      </c>
      <c r="B133" s="2" t="s">
        <v>668</v>
      </c>
      <c r="C133" s="3">
        <v>0.01</v>
      </c>
      <c r="D133" s="6" t="s">
        <v>573</v>
      </c>
      <c r="E133">
        <f>(30-C133*100)*VLOOKUP($D133,Calc!$A$1:$C$6,3,FALSE)</f>
        <v>290</v>
      </c>
      <c r="F133" s="6">
        <f>VLOOKUP(D133,Calc!$A$1:$B$6,2,FALSE)</f>
        <v>5</v>
      </c>
      <c r="G133" s="10">
        <f t="shared" si="24"/>
        <v>1.0500000000000001E-2</v>
      </c>
      <c r="H133" s="9">
        <f t="shared" si="25"/>
        <v>5.3000000000000001E-5</v>
      </c>
      <c r="I133" s="10">
        <f t="shared" si="26"/>
        <v>1.05053E-2</v>
      </c>
      <c r="J133" s="10">
        <f t="shared" si="27"/>
        <v>1.05053E-2</v>
      </c>
      <c r="K133" s="10" t="str">
        <f t="shared" si="28"/>
        <v/>
      </c>
      <c r="L133" s="9">
        <f t="shared" si="29"/>
        <v>4.9894946999999998</v>
      </c>
      <c r="M133" s="9">
        <f t="shared" si="30"/>
        <v>4.9894946999999998</v>
      </c>
      <c r="N133" s="9" t="str">
        <f t="shared" si="31"/>
        <v/>
      </c>
      <c r="O133" s="4" t="s">
        <v>755</v>
      </c>
      <c r="P133" s="1" t="s">
        <v>1706</v>
      </c>
      <c r="Q133" s="7" t="s">
        <v>1499</v>
      </c>
      <c r="R133" s="7" t="s">
        <v>1500</v>
      </c>
      <c r="S133" s="8" t="s">
        <v>1501</v>
      </c>
      <c r="T133" s="7"/>
      <c r="U133" t="str">
        <f t="shared" si="32"/>
        <v/>
      </c>
      <c r="V133" t="str">
        <f t="shared" si="33"/>
        <v/>
      </c>
      <c r="W133" t="str">
        <f t="shared" si="34"/>
        <v/>
      </c>
      <c r="X133" t="str">
        <f t="shared" si="35"/>
        <v/>
      </c>
      <c r="Y133" t="str">
        <f>VLOOKUP($A133,Runs!$G:$G,1,FALSE)</f>
        <v>Frozen Assets</v>
      </c>
    </row>
    <row r="134" spans="1:25" ht="22.5" customHeight="1" x14ac:dyDescent="0.25">
      <c r="A134" s="2" t="s">
        <v>579</v>
      </c>
      <c r="B134" s="2" t="s">
        <v>580</v>
      </c>
      <c r="C134" s="3">
        <v>0.01</v>
      </c>
      <c r="D134" s="6" t="s">
        <v>573</v>
      </c>
      <c r="E134">
        <f>(30-C134*100)*VLOOKUP($D134,Calc!$A$1:$C$6,3,FALSE)</f>
        <v>290</v>
      </c>
      <c r="F134" s="6">
        <f>VLOOKUP(D134,Calc!$A$1:$B$6,2,FALSE)</f>
        <v>5</v>
      </c>
      <c r="G134" s="10">
        <f t="shared" si="24"/>
        <v>1.0500000000000001E-2</v>
      </c>
      <c r="H134" s="9">
        <f t="shared" si="25"/>
        <v>7.9999999999999996E-6</v>
      </c>
      <c r="I134" s="10">
        <f t="shared" si="26"/>
        <v>1.0500800000000001E-2</v>
      </c>
      <c r="J134" s="10">
        <f t="shared" si="27"/>
        <v>1.0500800000000001E-2</v>
      </c>
      <c r="K134" s="10" t="str">
        <f t="shared" si="28"/>
        <v/>
      </c>
      <c r="L134" s="9">
        <f t="shared" si="29"/>
        <v>4.9894992</v>
      </c>
      <c r="M134" s="9">
        <f t="shared" si="30"/>
        <v>4.9894992</v>
      </c>
      <c r="N134" s="9" t="str">
        <f t="shared" si="31"/>
        <v/>
      </c>
      <c r="O134" s="4" t="s">
        <v>755</v>
      </c>
      <c r="P134" s="1" t="s">
        <v>2050</v>
      </c>
      <c r="Q134" s="7" t="s">
        <v>1469</v>
      </c>
      <c r="R134" s="8" t="s">
        <v>1470</v>
      </c>
      <c r="S134" s="7"/>
      <c r="T134" s="7"/>
      <c r="U134" t="str">
        <f t="shared" si="32"/>
        <v/>
      </c>
      <c r="V134" t="str">
        <f t="shared" si="33"/>
        <v/>
      </c>
      <c r="W134" t="str">
        <f t="shared" si="34"/>
        <v/>
      </c>
      <c r="X134" t="str">
        <f t="shared" si="35"/>
        <v/>
      </c>
      <c r="Y134" t="str">
        <f>VLOOKUP($A134,Runs!$G:$G,1,FALSE)</f>
        <v>Albania or Iberia</v>
      </c>
    </row>
    <row r="135" spans="1:25" ht="22.5" customHeight="1" x14ac:dyDescent="0.25">
      <c r="A135" s="2" t="s">
        <v>199</v>
      </c>
      <c r="B135" s="2" t="s">
        <v>735</v>
      </c>
      <c r="C135" s="3">
        <v>1.0999999999999999E-2</v>
      </c>
      <c r="D135" s="6" t="s">
        <v>105</v>
      </c>
      <c r="E135">
        <f>(30-C135*100)*VLOOKUP($D135,Calc!$A$1:$C$6,3,FALSE)</f>
        <v>28.9</v>
      </c>
      <c r="F135" s="6">
        <f>VLOOKUP(D135,Calc!$A$1:$B$6,2,FALSE)</f>
        <v>2</v>
      </c>
      <c r="G135" s="10">
        <f t="shared" si="24"/>
        <v>1.12E-2</v>
      </c>
      <c r="H135" s="9">
        <f t="shared" si="25"/>
        <v>6.0999999999999999E-5</v>
      </c>
      <c r="I135" s="10">
        <f t="shared" si="26"/>
        <v>1.12061E-2</v>
      </c>
      <c r="J135" s="10" t="str">
        <f t="shared" si="27"/>
        <v/>
      </c>
      <c r="K135" s="10">
        <f t="shared" si="28"/>
        <v>1.12061E-2</v>
      </c>
      <c r="L135" s="9">
        <f t="shared" si="29"/>
        <v>1.9887938999999999</v>
      </c>
      <c r="M135" s="9" t="str">
        <f t="shared" si="30"/>
        <v/>
      </c>
      <c r="N135" s="9">
        <f t="shared" si="31"/>
        <v>1.9887938999999999</v>
      </c>
      <c r="O135" s="4"/>
      <c r="Q135" s="7"/>
      <c r="R135" s="7" t="s">
        <v>1029</v>
      </c>
      <c r="S135" s="7" t="s">
        <v>1030</v>
      </c>
      <c r="T135" s="7" t="s">
        <v>770</v>
      </c>
      <c r="U135">
        <f t="shared" si="32"/>
        <v>1.12061E-2</v>
      </c>
      <c r="V135" t="str">
        <f t="shared" si="33"/>
        <v/>
      </c>
      <c r="W135" t="str">
        <f t="shared" si="34"/>
        <v/>
      </c>
      <c r="X135" t="str">
        <f t="shared" si="35"/>
        <v/>
      </c>
      <c r="Y135" t="e">
        <f>VLOOKUP($A135,Runs!$G:$G,1,FALSE)</f>
        <v>#N/A</v>
      </c>
    </row>
    <row r="136" spans="1:25" ht="22.5" customHeight="1" x14ac:dyDescent="0.25">
      <c r="A136" s="2" t="s">
        <v>235</v>
      </c>
      <c r="B136" s="2" t="s">
        <v>236</v>
      </c>
      <c r="C136" s="3">
        <v>1.0999999999999999E-2</v>
      </c>
      <c r="D136" s="6" t="s">
        <v>105</v>
      </c>
      <c r="E136">
        <f>(30-C136*100)*VLOOKUP($D136,Calc!$A$1:$C$6,3,FALSE)</f>
        <v>28.9</v>
      </c>
      <c r="F136" s="6">
        <f>VLOOKUP(D136,Calc!$A$1:$B$6,2,FALSE)</f>
        <v>2</v>
      </c>
      <c r="G136" s="10">
        <f t="shared" si="24"/>
        <v>1.12E-2</v>
      </c>
      <c r="H136" s="9">
        <f t="shared" si="25"/>
        <v>2.4600000000000002E-4</v>
      </c>
      <c r="I136" s="10">
        <f t="shared" si="26"/>
        <v>1.12246E-2</v>
      </c>
      <c r="J136" s="10">
        <f t="shared" si="27"/>
        <v>1.12246E-2</v>
      </c>
      <c r="K136" s="10" t="str">
        <f t="shared" si="28"/>
        <v/>
      </c>
      <c r="L136" s="9">
        <f t="shared" si="29"/>
        <v>1.9887754</v>
      </c>
      <c r="M136" s="9">
        <f t="shared" si="30"/>
        <v>1.9887754</v>
      </c>
      <c r="N136" s="9" t="str">
        <f t="shared" si="31"/>
        <v/>
      </c>
      <c r="O136" s="4" t="s">
        <v>755</v>
      </c>
      <c r="P136" s="1" t="s">
        <v>1758</v>
      </c>
      <c r="Q136" s="7" t="s">
        <v>1384</v>
      </c>
      <c r="R136" s="7" t="s">
        <v>1385</v>
      </c>
      <c r="S136" s="7" t="s">
        <v>1386</v>
      </c>
      <c r="T136" s="7" t="s">
        <v>1061</v>
      </c>
      <c r="U136" t="str">
        <f t="shared" si="32"/>
        <v/>
      </c>
      <c r="V136" t="str">
        <f t="shared" si="33"/>
        <v/>
      </c>
      <c r="W136" t="str">
        <f t="shared" si="34"/>
        <v/>
      </c>
      <c r="X136" t="str">
        <f t="shared" si="35"/>
        <v/>
      </c>
      <c r="Y136" t="str">
        <f>VLOOKUP($A136,Runs!$G:$G,1,FALSE)</f>
        <v>Østindisk Kompagni Te</v>
      </c>
    </row>
    <row r="137" spans="1:25" ht="22.5" customHeight="1" x14ac:dyDescent="0.25">
      <c r="A137" s="2" t="s">
        <v>128</v>
      </c>
      <c r="B137" s="2" t="s">
        <v>654</v>
      </c>
      <c r="C137" s="3">
        <v>1.0999999999999999E-2</v>
      </c>
      <c r="D137" s="6" t="s">
        <v>105</v>
      </c>
      <c r="E137">
        <f>(30-C137*100)*VLOOKUP($D137,Calc!$A$1:$C$6,3,FALSE)</f>
        <v>28.9</v>
      </c>
      <c r="F137" s="6">
        <f>VLOOKUP(D137,Calc!$A$1:$B$6,2,FALSE)</f>
        <v>2</v>
      </c>
      <c r="G137" s="10">
        <f t="shared" si="24"/>
        <v>1.12E-2</v>
      </c>
      <c r="H137" s="9">
        <f t="shared" si="25"/>
        <v>4.8000000000000001E-5</v>
      </c>
      <c r="I137" s="10">
        <f t="shared" si="26"/>
        <v>1.1204799999999999E-2</v>
      </c>
      <c r="J137" s="10" t="str">
        <f t="shared" si="27"/>
        <v/>
      </c>
      <c r="K137" s="10">
        <f t="shared" si="28"/>
        <v>1.1204799999999999E-2</v>
      </c>
      <c r="L137" s="9">
        <f t="shared" si="29"/>
        <v>1.9887952</v>
      </c>
      <c r="M137" s="9" t="str">
        <f t="shared" si="30"/>
        <v/>
      </c>
      <c r="N137" s="9">
        <f t="shared" si="31"/>
        <v>1.9887952</v>
      </c>
      <c r="O137" s="4"/>
      <c r="Q137" s="7" t="s">
        <v>906</v>
      </c>
      <c r="R137" s="7" t="s">
        <v>907</v>
      </c>
      <c r="S137" s="8" t="s">
        <v>908</v>
      </c>
      <c r="T137" s="7"/>
      <c r="U137">
        <f t="shared" si="32"/>
        <v>1.1204799999999999E-2</v>
      </c>
      <c r="V137" t="str">
        <f t="shared" si="33"/>
        <v/>
      </c>
      <c r="W137" t="str">
        <f t="shared" si="34"/>
        <v/>
      </c>
      <c r="X137" t="str">
        <f t="shared" si="35"/>
        <v/>
      </c>
      <c r="Y137" t="e">
        <f>VLOOKUP($A137,Runs!$G:$G,1,FALSE)</f>
        <v>#N/A</v>
      </c>
    </row>
    <row r="138" spans="1:25" ht="22.5" customHeight="1" x14ac:dyDescent="0.25">
      <c r="A138" s="2" t="s">
        <v>119</v>
      </c>
      <c r="B138" s="2" t="s">
        <v>120</v>
      </c>
      <c r="C138" s="3">
        <v>1.0999999999999999E-2</v>
      </c>
      <c r="D138" s="6" t="s">
        <v>105</v>
      </c>
      <c r="E138">
        <f>(30-C138*100)*VLOOKUP($D138,Calc!$A$1:$C$6,3,FALSE)</f>
        <v>28.9</v>
      </c>
      <c r="F138" s="6">
        <f>VLOOKUP(D138,Calc!$A$1:$B$6,2,FALSE)</f>
        <v>2</v>
      </c>
      <c r="G138" s="10">
        <f t="shared" si="24"/>
        <v>1.12E-2</v>
      </c>
      <c r="H138" s="9">
        <f t="shared" si="25"/>
        <v>3.6999999999999998E-5</v>
      </c>
      <c r="I138" s="10">
        <f t="shared" si="26"/>
        <v>1.12037E-2</v>
      </c>
      <c r="J138" s="10">
        <f t="shared" si="27"/>
        <v>1.12037E-2</v>
      </c>
      <c r="K138" s="10" t="str">
        <f t="shared" si="28"/>
        <v/>
      </c>
      <c r="L138" s="9">
        <f t="shared" si="29"/>
        <v>1.9887963</v>
      </c>
      <c r="M138" s="9">
        <f t="shared" si="30"/>
        <v>1.9887963</v>
      </c>
      <c r="N138" s="9" t="str">
        <f t="shared" si="31"/>
        <v/>
      </c>
      <c r="O138" s="4" t="s">
        <v>755</v>
      </c>
      <c r="P138" s="1" t="s">
        <v>1693</v>
      </c>
      <c r="Q138" s="7"/>
      <c r="R138" s="7" t="s">
        <v>894</v>
      </c>
      <c r="S138" s="8" t="s">
        <v>895</v>
      </c>
      <c r="T138" s="7"/>
      <c r="U138" t="str">
        <f t="shared" si="32"/>
        <v/>
      </c>
      <c r="V138" t="str">
        <f t="shared" si="33"/>
        <v/>
      </c>
      <c r="W138" t="str">
        <f t="shared" si="34"/>
        <v/>
      </c>
      <c r="X138" t="str">
        <f t="shared" si="35"/>
        <v/>
      </c>
      <c r="Y138" t="e">
        <f>VLOOKUP($A138,Runs!$G:$G,1,FALSE)</f>
        <v>#N/A</v>
      </c>
    </row>
    <row r="139" spans="1:25" ht="22.5" customHeight="1" x14ac:dyDescent="0.25">
      <c r="A139" s="2" t="s">
        <v>527</v>
      </c>
      <c r="B139" s="2" t="s">
        <v>747</v>
      </c>
      <c r="C139" s="3">
        <v>1.0999999999999999E-2</v>
      </c>
      <c r="D139" s="6" t="s">
        <v>434</v>
      </c>
      <c r="E139">
        <f>(30-C139*100)*VLOOKUP($D139,Calc!$A$1:$C$6,3,FALSE)</f>
        <v>144.5</v>
      </c>
      <c r="F139" s="6">
        <f>VLOOKUP(D139,Calc!$A$1:$B$6,2,FALSE)</f>
        <v>4</v>
      </c>
      <c r="G139" s="10">
        <f t="shared" si="24"/>
        <v>1.1399999999999999E-2</v>
      </c>
      <c r="H139" s="9">
        <f t="shared" si="25"/>
        <v>9.0000000000000006E-5</v>
      </c>
      <c r="I139" s="10">
        <f t="shared" si="26"/>
        <v>1.1408999999999999E-2</v>
      </c>
      <c r="J139" s="10">
        <f t="shared" si="27"/>
        <v>1.1408999999999999E-2</v>
      </c>
      <c r="K139" s="10" t="str">
        <f t="shared" si="28"/>
        <v/>
      </c>
      <c r="L139" s="9">
        <f t="shared" si="29"/>
        <v>3.988591</v>
      </c>
      <c r="M139" s="9">
        <f t="shared" si="30"/>
        <v>3.988591</v>
      </c>
      <c r="N139" s="9" t="str">
        <f t="shared" si="31"/>
        <v/>
      </c>
      <c r="O139" s="4" t="s">
        <v>755</v>
      </c>
      <c r="P139" s="1" t="s">
        <v>1701</v>
      </c>
      <c r="Q139" s="7" t="s">
        <v>1450</v>
      </c>
      <c r="R139" s="7" t="s">
        <v>1451</v>
      </c>
      <c r="S139" s="8" t="s">
        <v>1452</v>
      </c>
      <c r="T139" s="7"/>
      <c r="U139" t="str">
        <f t="shared" si="32"/>
        <v/>
      </c>
      <c r="V139" t="str">
        <f t="shared" si="33"/>
        <v/>
      </c>
      <c r="W139" t="str">
        <f t="shared" si="34"/>
        <v/>
      </c>
      <c r="X139" t="str">
        <f t="shared" si="35"/>
        <v/>
      </c>
      <c r="Y139" t="e">
        <f>VLOOKUP($A139,Runs!$G:$G,1,FALSE)</f>
        <v>#N/A</v>
      </c>
    </row>
    <row r="140" spans="1:25" ht="22.5" customHeight="1" x14ac:dyDescent="0.25">
      <c r="A140" s="2" t="s">
        <v>466</v>
      </c>
      <c r="B140" s="2" t="s">
        <v>467</v>
      </c>
      <c r="C140" s="3">
        <v>1.0999999999999999E-2</v>
      </c>
      <c r="D140" s="6" t="s">
        <v>434</v>
      </c>
      <c r="E140">
        <f>(30-C140*100)*VLOOKUP($D140,Calc!$A$1:$C$6,3,FALSE)</f>
        <v>144.5</v>
      </c>
      <c r="F140" s="6">
        <f>VLOOKUP(D140,Calc!$A$1:$B$6,2,FALSE)</f>
        <v>4</v>
      </c>
      <c r="G140" s="10">
        <f t="shared" si="24"/>
        <v>1.1399999999999999E-2</v>
      </c>
      <c r="H140" s="9">
        <f t="shared" si="25"/>
        <v>5.8E-5</v>
      </c>
      <c r="I140" s="10">
        <f t="shared" si="26"/>
        <v>1.1405799999999999E-2</v>
      </c>
      <c r="J140" s="10">
        <f t="shared" si="27"/>
        <v>1.1405799999999999E-2</v>
      </c>
      <c r="K140" s="10" t="str">
        <f t="shared" si="28"/>
        <v/>
      </c>
      <c r="L140" s="9">
        <f t="shared" si="29"/>
        <v>3.9885942000000001</v>
      </c>
      <c r="M140" s="9">
        <f t="shared" si="30"/>
        <v>3.9885942000000001</v>
      </c>
      <c r="N140" s="9" t="str">
        <f t="shared" si="31"/>
        <v/>
      </c>
      <c r="O140" s="4" t="s">
        <v>755</v>
      </c>
      <c r="P140" s="1" t="s">
        <v>1757</v>
      </c>
      <c r="Q140" s="7" t="s">
        <v>1326</v>
      </c>
      <c r="R140" s="7" t="s">
        <v>1327</v>
      </c>
      <c r="S140" s="8" t="s">
        <v>1328</v>
      </c>
      <c r="T140" s="7"/>
      <c r="U140" t="str">
        <f t="shared" si="32"/>
        <v/>
      </c>
      <c r="V140" t="str">
        <f t="shared" si="33"/>
        <v/>
      </c>
      <c r="W140" t="str">
        <f t="shared" si="34"/>
        <v/>
      </c>
      <c r="X140" t="str">
        <f t="shared" si="35"/>
        <v/>
      </c>
      <c r="Y140" t="str">
        <f>VLOOKUP($A140,Runs!$G:$G,1,FALSE)</f>
        <v>Emperor of Hindustan</v>
      </c>
    </row>
    <row r="141" spans="1:25" ht="22.5" customHeight="1" x14ac:dyDescent="0.25">
      <c r="A141" s="2" t="s">
        <v>540</v>
      </c>
      <c r="B141" s="2" t="s">
        <v>653</v>
      </c>
      <c r="C141" s="3">
        <v>1.0999999999999999E-2</v>
      </c>
      <c r="D141" s="6" t="s">
        <v>434</v>
      </c>
      <c r="E141">
        <f>(30-C141*100)*VLOOKUP($D141,Calc!$A$1:$C$6,3,FALSE)</f>
        <v>144.5</v>
      </c>
      <c r="F141" s="6">
        <f>VLOOKUP(D141,Calc!$A$1:$B$6,2,FALSE)</f>
        <v>4</v>
      </c>
      <c r="G141" s="10">
        <f t="shared" si="24"/>
        <v>1.1399999999999999E-2</v>
      </c>
      <c r="H141" s="9">
        <f t="shared" si="25"/>
        <v>5.7000000000000003E-5</v>
      </c>
      <c r="I141" s="10">
        <f t="shared" si="26"/>
        <v>1.14057E-2</v>
      </c>
      <c r="J141" s="10" t="str">
        <f t="shared" si="27"/>
        <v/>
      </c>
      <c r="K141" s="10">
        <f t="shared" si="28"/>
        <v>1.14057E-2</v>
      </c>
      <c r="L141" s="9">
        <f t="shared" si="29"/>
        <v>3.9885942999999999</v>
      </c>
      <c r="M141" s="9" t="str">
        <f t="shared" si="30"/>
        <v/>
      </c>
      <c r="N141" s="9">
        <f t="shared" si="31"/>
        <v>3.9885942999999999</v>
      </c>
      <c r="O141" s="4"/>
      <c r="Q141" s="7" t="s">
        <v>1259</v>
      </c>
      <c r="R141" s="7" t="s">
        <v>1485</v>
      </c>
      <c r="S141" s="8" t="s">
        <v>1486</v>
      </c>
      <c r="T141" s="7"/>
      <c r="U141" t="str">
        <f t="shared" si="32"/>
        <v/>
      </c>
      <c r="V141" t="str">
        <f t="shared" si="33"/>
        <v/>
      </c>
      <c r="W141">
        <f t="shared" si="34"/>
        <v>1.14057E-2</v>
      </c>
      <c r="X141" t="str">
        <f t="shared" si="35"/>
        <v/>
      </c>
      <c r="Y141" t="str">
        <f>VLOOKUP($A141,Runs!$G:$G,1,FALSE)</f>
        <v>Choson One</v>
      </c>
    </row>
    <row r="142" spans="1:25" ht="22.5" customHeight="1" x14ac:dyDescent="0.25">
      <c r="A142" s="2" t="s">
        <v>458</v>
      </c>
      <c r="B142" s="2" t="s">
        <v>459</v>
      </c>
      <c r="C142" s="3">
        <v>1.0999999999999999E-2</v>
      </c>
      <c r="D142" s="6" t="s">
        <v>434</v>
      </c>
      <c r="E142">
        <f>(30-C142*100)*VLOOKUP($D142,Calc!$A$1:$C$6,3,FALSE)</f>
        <v>144.5</v>
      </c>
      <c r="F142" s="6">
        <f>VLOOKUP(D142,Calc!$A$1:$B$6,2,FALSE)</f>
        <v>4</v>
      </c>
      <c r="G142" s="10">
        <f t="shared" si="24"/>
        <v>1.1399999999999999E-2</v>
      </c>
      <c r="H142" s="9">
        <f t="shared" si="25"/>
        <v>-1.2E-5</v>
      </c>
      <c r="I142" s="10">
        <f t="shared" si="26"/>
        <v>1.1398799999999999E-2</v>
      </c>
      <c r="J142" s="10">
        <f t="shared" si="27"/>
        <v>1.1398799999999999E-2</v>
      </c>
      <c r="K142" s="10" t="str">
        <f t="shared" si="28"/>
        <v/>
      </c>
      <c r="L142" s="9">
        <f t="shared" si="29"/>
        <v>3.9886012000000002</v>
      </c>
      <c r="M142" s="9">
        <f t="shared" si="30"/>
        <v>3.9886012000000002</v>
      </c>
      <c r="N142" s="9" t="str">
        <f t="shared" si="31"/>
        <v/>
      </c>
      <c r="O142" s="4" t="s">
        <v>755</v>
      </c>
      <c r="P142" s="1" t="s">
        <v>1861</v>
      </c>
      <c r="Q142" s="7" t="s">
        <v>1310</v>
      </c>
      <c r="R142" s="8" t="s">
        <v>1311</v>
      </c>
      <c r="S142" s="7"/>
      <c r="T142" s="7"/>
      <c r="U142" t="str">
        <f t="shared" si="32"/>
        <v/>
      </c>
      <c r="V142" t="str">
        <f t="shared" si="33"/>
        <v/>
      </c>
      <c r="W142" t="str">
        <f t="shared" si="34"/>
        <v/>
      </c>
      <c r="X142" t="str">
        <f t="shared" si="35"/>
        <v/>
      </c>
      <c r="Y142" t="str">
        <f>VLOOKUP($A142,Runs!$G:$G,1,FALSE)</f>
        <v>Back to the Piast</v>
      </c>
    </row>
    <row r="143" spans="1:25" ht="22.5" customHeight="1" x14ac:dyDescent="0.25">
      <c r="A143" s="2" t="s">
        <v>258</v>
      </c>
      <c r="B143" s="2" t="s">
        <v>745</v>
      </c>
      <c r="C143" s="3">
        <v>1.0999999999999999E-2</v>
      </c>
      <c r="D143" s="6" t="s">
        <v>242</v>
      </c>
      <c r="E143">
        <f>(30-C143*100)*VLOOKUP($D143,Calc!$A$1:$C$6,3,FALSE)</f>
        <v>72.25</v>
      </c>
      <c r="F143" s="6">
        <f>VLOOKUP(D143,Calc!$A$1:$B$6,2,FALSE)</f>
        <v>3</v>
      </c>
      <c r="G143" s="10">
        <f t="shared" si="24"/>
        <v>1.1299999999999999E-2</v>
      </c>
      <c r="H143" s="9">
        <f t="shared" si="25"/>
        <v>7.3999999999999996E-5</v>
      </c>
      <c r="I143" s="10">
        <f t="shared" si="26"/>
        <v>1.1307399999999999E-2</v>
      </c>
      <c r="J143" s="10" t="str">
        <f t="shared" si="27"/>
        <v/>
      </c>
      <c r="K143" s="10">
        <f t="shared" si="28"/>
        <v>1.1307399999999999E-2</v>
      </c>
      <c r="L143" s="9">
        <f t="shared" si="29"/>
        <v>2.9886925999999998</v>
      </c>
      <c r="M143" s="9" t="str">
        <f t="shared" si="30"/>
        <v/>
      </c>
      <c r="N143" s="9">
        <f t="shared" si="31"/>
        <v>2.9886925999999998</v>
      </c>
      <c r="O143" s="4"/>
      <c r="Q143" s="7"/>
      <c r="R143" s="7" t="s">
        <v>1036</v>
      </c>
      <c r="S143" s="8" t="s">
        <v>1037</v>
      </c>
      <c r="T143" s="7"/>
      <c r="U143" t="str">
        <f t="shared" si="32"/>
        <v/>
      </c>
      <c r="V143">
        <f t="shared" si="33"/>
        <v>1.1307399999999999E-2</v>
      </c>
      <c r="W143" t="str">
        <f t="shared" si="34"/>
        <v/>
      </c>
      <c r="X143" t="str">
        <f t="shared" si="35"/>
        <v/>
      </c>
      <c r="Y143" t="str">
        <f>VLOOKUP($A143,Runs!$G:$G,1,FALSE)</f>
        <v>Turn the Table</v>
      </c>
    </row>
    <row r="144" spans="1:25" ht="22.5" customHeight="1" x14ac:dyDescent="0.25">
      <c r="A144" s="2" t="s">
        <v>366</v>
      </c>
      <c r="B144" s="2" t="s">
        <v>367</v>
      </c>
      <c r="C144" s="3">
        <v>1.0999999999999999E-2</v>
      </c>
      <c r="D144" s="6" t="s">
        <v>242</v>
      </c>
      <c r="E144">
        <f>(30-C144*100)*VLOOKUP($D144,Calc!$A$1:$C$6,3,FALSE)</f>
        <v>72.25</v>
      </c>
      <c r="F144" s="6">
        <f>VLOOKUP(D144,Calc!$A$1:$B$6,2,FALSE)</f>
        <v>3</v>
      </c>
      <c r="G144" s="10">
        <f t="shared" si="24"/>
        <v>1.1299999999999999E-2</v>
      </c>
      <c r="H144" s="9">
        <f t="shared" si="25"/>
        <v>4.6E-5</v>
      </c>
      <c r="I144" s="10">
        <f t="shared" si="26"/>
        <v>1.13046E-2</v>
      </c>
      <c r="J144" s="10">
        <f t="shared" si="27"/>
        <v>1.13046E-2</v>
      </c>
      <c r="K144" s="10" t="str">
        <f t="shared" si="28"/>
        <v/>
      </c>
      <c r="L144" s="9">
        <f t="shared" si="29"/>
        <v>2.9886954000000001</v>
      </c>
      <c r="M144" s="9">
        <f t="shared" si="30"/>
        <v>2.9886954000000001</v>
      </c>
      <c r="N144" s="9" t="str">
        <f t="shared" si="31"/>
        <v/>
      </c>
      <c r="O144" s="4" t="s">
        <v>755</v>
      </c>
      <c r="P144" s="1" t="s">
        <v>1786</v>
      </c>
      <c r="Q144" s="7" t="s">
        <v>1239</v>
      </c>
      <c r="R144" s="7" t="s">
        <v>1240</v>
      </c>
      <c r="S144" s="8" t="s">
        <v>1241</v>
      </c>
      <c r="T144" s="7"/>
      <c r="U144" t="str">
        <f t="shared" si="32"/>
        <v/>
      </c>
      <c r="V144" t="str">
        <f t="shared" si="33"/>
        <v/>
      </c>
      <c r="W144" t="str">
        <f t="shared" si="34"/>
        <v/>
      </c>
      <c r="X144" t="str">
        <f t="shared" si="35"/>
        <v/>
      </c>
      <c r="Y144" t="str">
        <f>VLOOKUP($A144,Runs!$G:$G,1,FALSE)</f>
        <v>The Sudanese Expedition</v>
      </c>
    </row>
    <row r="145" spans="1:25" ht="22.5" customHeight="1" x14ac:dyDescent="0.25">
      <c r="A145" s="2" t="s">
        <v>610</v>
      </c>
      <c r="B145" s="2" t="s">
        <v>720</v>
      </c>
      <c r="C145" s="3">
        <v>1.0999999999999999E-2</v>
      </c>
      <c r="D145" s="6" t="s">
        <v>573</v>
      </c>
      <c r="E145">
        <f>(30-C145*100)*VLOOKUP($D145,Calc!$A$1:$C$6,3,FALSE)</f>
        <v>289</v>
      </c>
      <c r="F145" s="6">
        <f>VLOOKUP(D145,Calc!$A$1:$B$6,2,FALSE)</f>
        <v>5</v>
      </c>
      <c r="G145" s="10">
        <f t="shared" si="24"/>
        <v>1.15E-2</v>
      </c>
      <c r="H145" s="9">
        <f t="shared" si="25"/>
        <v>7.4999999999999993E-5</v>
      </c>
      <c r="I145" s="10">
        <f t="shared" si="26"/>
        <v>1.15075E-2</v>
      </c>
      <c r="J145" s="10">
        <f t="shared" si="27"/>
        <v>1.15075E-2</v>
      </c>
      <c r="K145" s="10" t="str">
        <f t="shared" si="28"/>
        <v/>
      </c>
      <c r="L145" s="9">
        <f t="shared" si="29"/>
        <v>4.9884925000000004</v>
      </c>
      <c r="M145" s="9">
        <f t="shared" si="30"/>
        <v>4.9884925000000004</v>
      </c>
      <c r="N145" s="9" t="str">
        <f t="shared" si="31"/>
        <v/>
      </c>
      <c r="O145" s="4" t="s">
        <v>755</v>
      </c>
      <c r="P145" s="1" t="s">
        <v>1911</v>
      </c>
      <c r="Q145" s="7" t="s">
        <v>1545</v>
      </c>
      <c r="R145" s="7" t="s">
        <v>1546</v>
      </c>
      <c r="S145" s="8" t="s">
        <v>1547</v>
      </c>
      <c r="T145" s="7"/>
      <c r="U145" t="str">
        <f t="shared" si="32"/>
        <v/>
      </c>
      <c r="V145" t="str">
        <f t="shared" si="33"/>
        <v/>
      </c>
      <c r="W145" t="str">
        <f t="shared" si="34"/>
        <v/>
      </c>
      <c r="X145" t="str">
        <f t="shared" si="35"/>
        <v/>
      </c>
      <c r="Y145" t="str">
        <f>VLOOKUP($A145,Runs!$G:$G,1,FALSE)</f>
        <v>Sunset Invasion</v>
      </c>
    </row>
    <row r="146" spans="1:25" ht="22.5" customHeight="1" x14ac:dyDescent="0.25">
      <c r="A146" s="2" t="s">
        <v>604</v>
      </c>
      <c r="B146" s="2" t="s">
        <v>605</v>
      </c>
      <c r="C146" s="3">
        <v>1.0999999999999999E-2</v>
      </c>
      <c r="D146" s="6" t="s">
        <v>573</v>
      </c>
      <c r="E146">
        <f>(30-C146*100)*VLOOKUP($D146,Calc!$A$1:$C$6,3,FALSE)</f>
        <v>289</v>
      </c>
      <c r="F146" s="6">
        <f>VLOOKUP(D146,Calc!$A$1:$B$6,2,FALSE)</f>
        <v>5</v>
      </c>
      <c r="G146" s="10">
        <f t="shared" si="24"/>
        <v>1.15E-2</v>
      </c>
      <c r="H146" s="9">
        <f t="shared" si="25"/>
        <v>3.4999999999999997E-5</v>
      </c>
      <c r="I146" s="10">
        <f t="shared" si="26"/>
        <v>1.15035E-2</v>
      </c>
      <c r="J146" s="10">
        <f t="shared" si="27"/>
        <v>1.15035E-2</v>
      </c>
      <c r="K146" s="10" t="str">
        <f t="shared" si="28"/>
        <v/>
      </c>
      <c r="L146" s="9">
        <f t="shared" si="29"/>
        <v>4.9884965000000001</v>
      </c>
      <c r="M146" s="9">
        <f t="shared" si="30"/>
        <v>4.9884965000000001</v>
      </c>
      <c r="N146" s="9" t="str">
        <f t="shared" si="31"/>
        <v/>
      </c>
      <c r="O146" s="4" t="s">
        <v>755</v>
      </c>
      <c r="P146" s="1" t="s">
        <v>1679</v>
      </c>
      <c r="Q146" s="7" t="s">
        <v>1537</v>
      </c>
      <c r="R146" s="7" t="s">
        <v>1319</v>
      </c>
      <c r="S146" s="8" t="s">
        <v>1538</v>
      </c>
      <c r="T146" s="7"/>
      <c r="U146" t="str">
        <f t="shared" si="32"/>
        <v/>
      </c>
      <c r="V146" t="str">
        <f t="shared" si="33"/>
        <v/>
      </c>
      <c r="W146" t="str">
        <f t="shared" si="34"/>
        <v/>
      </c>
      <c r="X146" t="str">
        <f t="shared" si="35"/>
        <v/>
      </c>
      <c r="Y146" t="e">
        <f>VLOOKUP($A146,Runs!$G:$G,1,FALSE)</f>
        <v>#N/A</v>
      </c>
    </row>
    <row r="147" spans="1:25" ht="22.5" customHeight="1" x14ac:dyDescent="0.25">
      <c r="A147" s="2" t="s">
        <v>126</v>
      </c>
      <c r="B147" s="2" t="s">
        <v>127</v>
      </c>
      <c r="C147" s="3">
        <v>1.2E-2</v>
      </c>
      <c r="D147" s="6" t="s">
        <v>105</v>
      </c>
      <c r="E147">
        <f>(30-C147*100)*VLOOKUP($D147,Calc!$A$1:$C$6,3,FALSE)</f>
        <v>28.8</v>
      </c>
      <c r="F147" s="6">
        <f>VLOOKUP(D147,Calc!$A$1:$B$6,2,FALSE)</f>
        <v>2</v>
      </c>
      <c r="G147" s="10">
        <f t="shared" si="24"/>
        <v>1.2200000000000001E-2</v>
      </c>
      <c r="H147" s="9">
        <f t="shared" si="25"/>
        <v>3.6000000000000001E-5</v>
      </c>
      <c r="I147" s="10">
        <f t="shared" si="26"/>
        <v>1.22036E-2</v>
      </c>
      <c r="J147" s="10">
        <f t="shared" si="27"/>
        <v>1.22036E-2</v>
      </c>
      <c r="K147" s="10" t="str">
        <f t="shared" si="28"/>
        <v/>
      </c>
      <c r="L147" s="9">
        <f t="shared" si="29"/>
        <v>1.9877963999999999</v>
      </c>
      <c r="M147" s="9">
        <f t="shared" si="30"/>
        <v>1.9877963999999999</v>
      </c>
      <c r="N147" s="9" t="str">
        <f t="shared" si="31"/>
        <v/>
      </c>
      <c r="O147" s="4" t="s">
        <v>755</v>
      </c>
      <c r="P147" s="1" t="s">
        <v>1684</v>
      </c>
      <c r="Q147" s="7" t="s">
        <v>866</v>
      </c>
      <c r="R147" s="7" t="s">
        <v>904</v>
      </c>
      <c r="S147" s="7" t="s">
        <v>905</v>
      </c>
      <c r="T147" s="7" t="s">
        <v>770</v>
      </c>
      <c r="U147" t="str">
        <f t="shared" si="32"/>
        <v/>
      </c>
      <c r="V147" t="str">
        <f t="shared" si="33"/>
        <v/>
      </c>
      <c r="W147" t="str">
        <f t="shared" si="34"/>
        <v/>
      </c>
      <c r="X147" t="str">
        <f t="shared" si="35"/>
        <v/>
      </c>
      <c r="Y147" t="e">
        <f>VLOOKUP($A147,Runs!$G:$G,1,FALSE)</f>
        <v>#N/A</v>
      </c>
    </row>
    <row r="148" spans="1:25" ht="22.5" customHeight="1" x14ac:dyDescent="0.25">
      <c r="A148" s="2" t="s">
        <v>121</v>
      </c>
      <c r="B148" s="2" t="s">
        <v>651</v>
      </c>
      <c r="C148" s="3">
        <v>1.2E-2</v>
      </c>
      <c r="D148" s="6" t="s">
        <v>105</v>
      </c>
      <c r="E148">
        <f>(30-C148*100)*VLOOKUP($D148,Calc!$A$1:$C$6,3,FALSE)</f>
        <v>28.8</v>
      </c>
      <c r="F148" s="6">
        <f>VLOOKUP(D148,Calc!$A$1:$B$6,2,FALSE)</f>
        <v>2</v>
      </c>
      <c r="G148" s="10">
        <f t="shared" si="24"/>
        <v>1.2200000000000001E-2</v>
      </c>
      <c r="H148" s="9">
        <f t="shared" si="25"/>
        <v>3.8000000000000002E-5</v>
      </c>
      <c r="I148" s="10">
        <f t="shared" si="26"/>
        <v>1.2203800000000001E-2</v>
      </c>
      <c r="J148" s="10">
        <f t="shared" si="27"/>
        <v>1.2203800000000001E-2</v>
      </c>
      <c r="K148" s="10" t="str">
        <f t="shared" si="28"/>
        <v/>
      </c>
      <c r="L148" s="9">
        <f t="shared" si="29"/>
        <v>1.9877962</v>
      </c>
      <c r="M148" s="9">
        <f t="shared" si="30"/>
        <v>1.9877962</v>
      </c>
      <c r="N148" s="9" t="str">
        <f t="shared" si="31"/>
        <v/>
      </c>
      <c r="O148" s="4" t="s">
        <v>755</v>
      </c>
      <c r="P148" s="1" t="s">
        <v>1758</v>
      </c>
      <c r="Q148" s="7" t="s">
        <v>896</v>
      </c>
      <c r="R148" s="7" t="s">
        <v>897</v>
      </c>
      <c r="S148" s="8" t="s">
        <v>898</v>
      </c>
      <c r="T148" s="7"/>
      <c r="U148" t="str">
        <f t="shared" si="32"/>
        <v/>
      </c>
      <c r="V148" t="str">
        <f t="shared" si="33"/>
        <v/>
      </c>
      <c r="W148" t="str">
        <f t="shared" si="34"/>
        <v/>
      </c>
      <c r="X148" t="str">
        <f t="shared" si="35"/>
        <v/>
      </c>
      <c r="Y148" t="str">
        <f>VLOOKUP($A148,Runs!$G:$G,1,FALSE)</f>
        <v>Brick by Brick</v>
      </c>
    </row>
    <row r="149" spans="1:25" ht="22.5" customHeight="1" x14ac:dyDescent="0.25">
      <c r="A149" s="2" t="s">
        <v>565</v>
      </c>
      <c r="B149" s="2" t="s">
        <v>728</v>
      </c>
      <c r="C149" s="3">
        <v>1.2E-2</v>
      </c>
      <c r="D149" s="6" t="s">
        <v>434</v>
      </c>
      <c r="E149">
        <f>(30-C149*100)*VLOOKUP($D149,Calc!$A$1:$C$6,3,FALSE)</f>
        <v>144</v>
      </c>
      <c r="F149" s="6">
        <f>VLOOKUP(D149,Calc!$A$1:$B$6,2,FALSE)</f>
        <v>4</v>
      </c>
      <c r="G149" s="10">
        <f t="shared" si="24"/>
        <v>1.24E-2</v>
      </c>
      <c r="H149" s="9">
        <f t="shared" si="25"/>
        <v>5.3000000000000001E-5</v>
      </c>
      <c r="I149" s="10">
        <f t="shared" si="26"/>
        <v>1.2405299999999999E-2</v>
      </c>
      <c r="J149" s="10">
        <f t="shared" si="27"/>
        <v>1.2405299999999999E-2</v>
      </c>
      <c r="K149" s="10" t="str">
        <f t="shared" si="28"/>
        <v/>
      </c>
      <c r="L149" s="9">
        <f t="shared" si="29"/>
        <v>3.9875946999999998</v>
      </c>
      <c r="M149" s="9">
        <f t="shared" si="30"/>
        <v>3.9875946999999998</v>
      </c>
      <c r="N149" s="9" t="str">
        <f t="shared" si="31"/>
        <v/>
      </c>
      <c r="O149" s="4" t="s">
        <v>755</v>
      </c>
      <c r="P149" s="1" t="s">
        <v>1689</v>
      </c>
      <c r="Q149" s="7" t="s">
        <v>1607</v>
      </c>
      <c r="R149" s="7" t="s">
        <v>1608</v>
      </c>
      <c r="S149" s="8" t="s">
        <v>1609</v>
      </c>
      <c r="T149" s="7"/>
      <c r="U149" t="str">
        <f t="shared" si="32"/>
        <v/>
      </c>
      <c r="V149" t="str">
        <f t="shared" si="33"/>
        <v/>
      </c>
      <c r="W149" t="str">
        <f t="shared" si="34"/>
        <v/>
      </c>
      <c r="X149" t="str">
        <f t="shared" si="35"/>
        <v/>
      </c>
      <c r="Y149" t="e">
        <f>VLOOKUP($A149,Runs!$G:$G,1,FALSE)</f>
        <v>#N/A</v>
      </c>
    </row>
    <row r="150" spans="1:25" ht="22.5" customHeight="1" x14ac:dyDescent="0.25">
      <c r="A150" s="2" t="s">
        <v>516</v>
      </c>
      <c r="B150" s="2" t="s">
        <v>517</v>
      </c>
      <c r="C150" s="3">
        <v>1.2E-2</v>
      </c>
      <c r="D150" s="6" t="s">
        <v>434</v>
      </c>
      <c r="E150">
        <f>(30-C150*100)*VLOOKUP($D150,Calc!$A$1:$C$6,3,FALSE)</f>
        <v>144</v>
      </c>
      <c r="F150" s="6">
        <f>VLOOKUP(D150,Calc!$A$1:$B$6,2,FALSE)</f>
        <v>4</v>
      </c>
      <c r="G150" s="10">
        <f t="shared" si="24"/>
        <v>1.24E-2</v>
      </c>
      <c r="H150" s="9">
        <f t="shared" si="25"/>
        <v>4.3999999999999999E-5</v>
      </c>
      <c r="I150" s="10">
        <f t="shared" si="26"/>
        <v>1.2404399999999999E-2</v>
      </c>
      <c r="J150" s="10">
        <f t="shared" si="27"/>
        <v>1.2404399999999999E-2</v>
      </c>
      <c r="K150" s="10" t="str">
        <f t="shared" si="28"/>
        <v/>
      </c>
      <c r="L150" s="9">
        <f t="shared" si="29"/>
        <v>3.9875956000000001</v>
      </c>
      <c r="M150" s="9">
        <f t="shared" si="30"/>
        <v>3.9875956000000001</v>
      </c>
      <c r="N150" s="9" t="str">
        <f t="shared" si="31"/>
        <v/>
      </c>
      <c r="O150" s="4" t="s">
        <v>755</v>
      </c>
      <c r="P150" s="1" t="s">
        <v>1678</v>
      </c>
      <c r="Q150" s="7" t="s">
        <v>987</v>
      </c>
      <c r="R150" s="8" t="s">
        <v>1424</v>
      </c>
      <c r="S150" s="7"/>
      <c r="T150" s="7"/>
      <c r="U150" t="str">
        <f t="shared" si="32"/>
        <v/>
      </c>
      <c r="V150" t="str">
        <f t="shared" si="33"/>
        <v/>
      </c>
      <c r="W150" t="str">
        <f t="shared" si="34"/>
        <v/>
      </c>
      <c r="X150" t="str">
        <f t="shared" si="35"/>
        <v/>
      </c>
      <c r="Y150" t="e">
        <f>VLOOKUP($A150,Runs!$G:$G,1,FALSE)</f>
        <v>#N/A</v>
      </c>
    </row>
    <row r="151" spans="1:25" ht="22.5" customHeight="1" x14ac:dyDescent="0.25">
      <c r="A151" s="2" t="s">
        <v>445</v>
      </c>
      <c r="B151" s="2" t="s">
        <v>446</v>
      </c>
      <c r="C151" s="3">
        <v>1.2E-2</v>
      </c>
      <c r="D151" s="6" t="s">
        <v>434</v>
      </c>
      <c r="E151">
        <f>(30-C151*100)*VLOOKUP($D151,Calc!$A$1:$C$6,3,FALSE)</f>
        <v>144</v>
      </c>
      <c r="F151" s="6">
        <f>VLOOKUP(D151,Calc!$A$1:$B$6,2,FALSE)</f>
        <v>4</v>
      </c>
      <c r="G151" s="10">
        <f t="shared" si="24"/>
        <v>1.24E-2</v>
      </c>
      <c r="H151" s="9">
        <f t="shared" si="25"/>
        <v>7.9999999999999996E-6</v>
      </c>
      <c r="I151" s="10">
        <f t="shared" si="26"/>
        <v>1.24008E-2</v>
      </c>
      <c r="J151" s="10" t="str">
        <f t="shared" si="27"/>
        <v/>
      </c>
      <c r="K151" s="10">
        <f t="shared" si="28"/>
        <v>1.24008E-2</v>
      </c>
      <c r="L151" s="9">
        <f t="shared" si="29"/>
        <v>3.9875992</v>
      </c>
      <c r="M151" s="9" t="str">
        <f t="shared" si="30"/>
        <v/>
      </c>
      <c r="N151" s="9">
        <f t="shared" si="31"/>
        <v>3.9875992</v>
      </c>
      <c r="O151" s="4"/>
      <c r="Q151" s="7" t="s">
        <v>1181</v>
      </c>
      <c r="R151" s="7" t="s">
        <v>1182</v>
      </c>
      <c r="S151" s="8" t="s">
        <v>1183</v>
      </c>
      <c r="T151" s="7"/>
      <c r="U151" t="str">
        <f t="shared" si="32"/>
        <v/>
      </c>
      <c r="V151" t="str">
        <f t="shared" si="33"/>
        <v/>
      </c>
      <c r="W151">
        <f t="shared" si="34"/>
        <v>1.24008E-2</v>
      </c>
      <c r="X151" t="str">
        <f t="shared" si="35"/>
        <v/>
      </c>
      <c r="Y151" t="str">
        <f>VLOOKUP($A151,Runs!$G:$G,1,FALSE)</f>
        <v>Rise of the White Sheep</v>
      </c>
    </row>
    <row r="152" spans="1:25" ht="22.5" customHeight="1" x14ac:dyDescent="0.25">
      <c r="A152" s="2" t="s">
        <v>563</v>
      </c>
      <c r="B152" s="2" t="s">
        <v>712</v>
      </c>
      <c r="C152" s="3">
        <v>1.2E-2</v>
      </c>
      <c r="D152" s="6" t="s">
        <v>434</v>
      </c>
      <c r="E152">
        <f>(30-C152*100)*VLOOKUP($D152,Calc!$A$1:$C$6,3,FALSE)</f>
        <v>144</v>
      </c>
      <c r="F152" s="6">
        <f>VLOOKUP(D152,Calc!$A$1:$B$6,2,FALSE)</f>
        <v>4</v>
      </c>
      <c r="G152" s="10">
        <f t="shared" si="24"/>
        <v>1.24E-2</v>
      </c>
      <c r="H152" s="9">
        <f t="shared" si="25"/>
        <v>6.7999999999999999E-5</v>
      </c>
      <c r="I152" s="10">
        <f t="shared" si="26"/>
        <v>1.2406799999999999E-2</v>
      </c>
      <c r="J152" s="10">
        <f t="shared" si="27"/>
        <v>1.2406799999999999E-2</v>
      </c>
      <c r="K152" s="10" t="str">
        <f t="shared" si="28"/>
        <v/>
      </c>
      <c r="L152" s="9">
        <f t="shared" si="29"/>
        <v>3.9875932000000001</v>
      </c>
      <c r="M152" s="9">
        <f t="shared" si="30"/>
        <v>3.9875932000000001</v>
      </c>
      <c r="N152" s="9" t="str">
        <f t="shared" si="31"/>
        <v/>
      </c>
      <c r="O152" s="4" t="s">
        <v>755</v>
      </c>
      <c r="P152" s="1" t="s">
        <v>1689</v>
      </c>
      <c r="Q152" s="7" t="s">
        <v>1594</v>
      </c>
      <c r="R152" s="8" t="s">
        <v>1595</v>
      </c>
      <c r="S152" s="7"/>
      <c r="T152" s="7"/>
      <c r="U152" t="str">
        <f t="shared" si="32"/>
        <v/>
      </c>
      <c r="V152" t="str">
        <f t="shared" si="33"/>
        <v/>
      </c>
      <c r="W152" t="str">
        <f t="shared" si="34"/>
        <v/>
      </c>
      <c r="X152" t="str">
        <f t="shared" si="35"/>
        <v/>
      </c>
      <c r="Y152" t="e">
        <f>VLOOKUP($A152,Runs!$G:$G,1,FALSE)</f>
        <v>#N/A</v>
      </c>
    </row>
    <row r="153" spans="1:25" ht="22.5" customHeight="1" x14ac:dyDescent="0.25">
      <c r="A153" s="2" t="s">
        <v>444</v>
      </c>
      <c r="B153" s="2" t="s">
        <v>691</v>
      </c>
      <c r="C153" s="3">
        <v>1.2E-2</v>
      </c>
      <c r="D153" s="6" t="s">
        <v>434</v>
      </c>
      <c r="E153">
        <f>(30-C153*100)*VLOOKUP($D153,Calc!$A$1:$C$6,3,FALSE)</f>
        <v>144</v>
      </c>
      <c r="F153" s="6">
        <f>VLOOKUP(D153,Calc!$A$1:$B$6,2,FALSE)</f>
        <v>4</v>
      </c>
      <c r="G153" s="10">
        <f t="shared" si="24"/>
        <v>1.24E-2</v>
      </c>
      <c r="H153" s="9">
        <f t="shared" si="25"/>
        <v>7.1000000000000005E-5</v>
      </c>
      <c r="I153" s="10">
        <f t="shared" si="26"/>
        <v>1.2407099999999999E-2</v>
      </c>
      <c r="J153" s="10">
        <f t="shared" si="27"/>
        <v>1.2407099999999999E-2</v>
      </c>
      <c r="K153" s="10" t="str">
        <f t="shared" si="28"/>
        <v/>
      </c>
      <c r="L153" s="9">
        <f t="shared" si="29"/>
        <v>3.9875929000000001</v>
      </c>
      <c r="M153" s="9">
        <f t="shared" si="30"/>
        <v>3.9875929000000001</v>
      </c>
      <c r="N153" s="9" t="str">
        <f t="shared" si="31"/>
        <v/>
      </c>
      <c r="O153" s="4" t="s">
        <v>755</v>
      </c>
      <c r="P153" s="1" t="s">
        <v>1914</v>
      </c>
      <c r="Q153" s="7" t="s">
        <v>1147</v>
      </c>
      <c r="R153" s="8" t="s">
        <v>1148</v>
      </c>
      <c r="S153" s="7"/>
      <c r="T153" s="7"/>
      <c r="U153" t="str">
        <f t="shared" si="32"/>
        <v/>
      </c>
      <c r="V153" t="str">
        <f t="shared" si="33"/>
        <v/>
      </c>
      <c r="W153" t="str">
        <f t="shared" si="34"/>
        <v/>
      </c>
      <c r="X153" t="str">
        <f t="shared" si="35"/>
        <v/>
      </c>
      <c r="Y153" t="str">
        <f>VLOOKUP($A153,Runs!$G:$G,1,FALSE)</f>
        <v>Lessons of Hemmingstedt</v>
      </c>
    </row>
    <row r="154" spans="1:25" ht="22.5" customHeight="1" x14ac:dyDescent="0.25">
      <c r="A154" s="2" t="s">
        <v>484</v>
      </c>
      <c r="B154" s="2" t="s">
        <v>485</v>
      </c>
      <c r="C154" s="3">
        <v>1.2E-2</v>
      </c>
      <c r="D154" s="6" t="s">
        <v>434</v>
      </c>
      <c r="E154">
        <f>(30-C154*100)*VLOOKUP($D154,Calc!$A$1:$C$6,3,FALSE)</f>
        <v>144</v>
      </c>
      <c r="F154" s="6">
        <f>VLOOKUP(D154,Calc!$A$1:$B$6,2,FALSE)</f>
        <v>4</v>
      </c>
      <c r="G154" s="10">
        <f t="shared" si="24"/>
        <v>1.24E-2</v>
      </c>
      <c r="H154" s="9">
        <f t="shared" si="25"/>
        <v>1.17E-4</v>
      </c>
      <c r="I154" s="10">
        <f t="shared" si="26"/>
        <v>1.2411699999999999E-2</v>
      </c>
      <c r="J154" s="10" t="str">
        <f t="shared" si="27"/>
        <v/>
      </c>
      <c r="K154" s="10">
        <f t="shared" si="28"/>
        <v>1.2411699999999999E-2</v>
      </c>
      <c r="L154" s="9">
        <f t="shared" si="29"/>
        <v>3.9875883000000001</v>
      </c>
      <c r="M154" s="9" t="str">
        <f t="shared" si="30"/>
        <v/>
      </c>
      <c r="N154" s="9">
        <f t="shared" si="31"/>
        <v>3.9875883000000001</v>
      </c>
      <c r="O154" s="4"/>
      <c r="Q154" s="7" t="s">
        <v>1362</v>
      </c>
      <c r="R154" s="8" t="s">
        <v>1363</v>
      </c>
      <c r="S154" s="7"/>
      <c r="T154" s="7"/>
      <c r="U154" t="str">
        <f t="shared" si="32"/>
        <v/>
      </c>
      <c r="V154" t="str">
        <f t="shared" si="33"/>
        <v/>
      </c>
      <c r="W154">
        <f t="shared" si="34"/>
        <v>1.2411699999999999E-2</v>
      </c>
      <c r="X154" t="str">
        <f t="shared" si="35"/>
        <v/>
      </c>
      <c r="Y154" t="str">
        <f>VLOOKUP($A154,Runs!$G:$G,1,FALSE)</f>
        <v>Lazarus</v>
      </c>
    </row>
    <row r="155" spans="1:25" ht="22.5" customHeight="1" x14ac:dyDescent="0.25">
      <c r="A155" s="2" t="s">
        <v>479</v>
      </c>
      <c r="B155" s="2" t="s">
        <v>684</v>
      </c>
      <c r="C155" s="3">
        <v>1.2E-2</v>
      </c>
      <c r="D155" s="6" t="s">
        <v>434</v>
      </c>
      <c r="E155">
        <f>(30-C155*100)*VLOOKUP($D155,Calc!$A$1:$C$6,3,FALSE)</f>
        <v>144</v>
      </c>
      <c r="F155" s="6">
        <f>VLOOKUP(D155,Calc!$A$1:$B$6,2,FALSE)</f>
        <v>4</v>
      </c>
      <c r="G155" s="10">
        <f t="shared" si="24"/>
        <v>1.24E-2</v>
      </c>
      <c r="H155" s="9">
        <f t="shared" si="25"/>
        <v>3.8000000000000002E-5</v>
      </c>
      <c r="I155" s="10">
        <f t="shared" si="26"/>
        <v>1.24038E-2</v>
      </c>
      <c r="J155" s="10">
        <f t="shared" si="27"/>
        <v>1.24038E-2</v>
      </c>
      <c r="K155" s="10" t="str">
        <f t="shared" si="28"/>
        <v/>
      </c>
      <c r="L155" s="9">
        <f t="shared" si="29"/>
        <v>3.9875962</v>
      </c>
      <c r="M155" s="9">
        <f t="shared" si="30"/>
        <v>3.9875962</v>
      </c>
      <c r="N155" s="9" t="str">
        <f t="shared" si="31"/>
        <v/>
      </c>
      <c r="O155" s="4" t="s">
        <v>755</v>
      </c>
      <c r="P155" s="1" t="s">
        <v>1866</v>
      </c>
      <c r="Q155" s="7"/>
      <c r="R155" s="7" t="s">
        <v>1353</v>
      </c>
      <c r="S155" s="8" t="s">
        <v>1354</v>
      </c>
      <c r="T155" s="7"/>
      <c r="U155" t="str">
        <f t="shared" si="32"/>
        <v/>
      </c>
      <c r="V155" t="str">
        <f t="shared" si="33"/>
        <v/>
      </c>
      <c r="W155" t="str">
        <f t="shared" si="34"/>
        <v/>
      </c>
      <c r="X155" t="str">
        <f t="shared" si="35"/>
        <v/>
      </c>
      <c r="Y155" t="str">
        <f>VLOOKUP($A155,Runs!$G:$G,1,FALSE)</f>
        <v>Keep the Flame Burning</v>
      </c>
    </row>
    <row r="156" spans="1:25" ht="22.5" customHeight="1" x14ac:dyDescent="0.25">
      <c r="A156" s="2" t="s">
        <v>454</v>
      </c>
      <c r="B156" s="2" t="s">
        <v>455</v>
      </c>
      <c r="C156" s="3">
        <v>1.2E-2</v>
      </c>
      <c r="D156" s="6" t="s">
        <v>434</v>
      </c>
      <c r="E156">
        <f>(30-C156*100)*VLOOKUP($D156,Calc!$A$1:$C$6,3,FALSE)</f>
        <v>144</v>
      </c>
      <c r="F156" s="6">
        <f>VLOOKUP(D156,Calc!$A$1:$B$6,2,FALSE)</f>
        <v>4</v>
      </c>
      <c r="G156" s="10">
        <f t="shared" si="24"/>
        <v>1.24E-2</v>
      </c>
      <c r="H156" s="9">
        <f t="shared" si="25"/>
        <v>3.1000000000000001E-5</v>
      </c>
      <c r="I156" s="10">
        <f t="shared" si="26"/>
        <v>1.24031E-2</v>
      </c>
      <c r="J156" s="10">
        <f t="shared" si="27"/>
        <v>1.24031E-2</v>
      </c>
      <c r="K156" s="10" t="str">
        <f t="shared" si="28"/>
        <v/>
      </c>
      <c r="L156" s="9">
        <f t="shared" si="29"/>
        <v>3.9875968999999998</v>
      </c>
      <c r="M156" s="9">
        <f t="shared" si="30"/>
        <v>3.9875968999999998</v>
      </c>
      <c r="N156" s="9" t="str">
        <f t="shared" si="31"/>
        <v/>
      </c>
      <c r="O156" s="4" t="s">
        <v>755</v>
      </c>
      <c r="P156" s="1" t="s">
        <v>1802</v>
      </c>
      <c r="Q156" s="7" t="s">
        <v>1303</v>
      </c>
      <c r="R156" s="8" t="s">
        <v>1304</v>
      </c>
      <c r="S156" s="7"/>
      <c r="T156" s="7"/>
      <c r="U156" t="str">
        <f t="shared" si="32"/>
        <v/>
      </c>
      <c r="V156" t="str">
        <f t="shared" si="33"/>
        <v/>
      </c>
      <c r="W156" t="str">
        <f t="shared" si="34"/>
        <v/>
      </c>
      <c r="X156" t="str">
        <f t="shared" si="35"/>
        <v/>
      </c>
      <c r="Y156" t="str">
        <f>VLOOKUP($A156,Runs!$G:$G,1,FALSE)</f>
        <v>Auld Alliance Reversed</v>
      </c>
    </row>
    <row r="157" spans="1:25" ht="22.5" customHeight="1" x14ac:dyDescent="0.25">
      <c r="A157" s="2" t="s">
        <v>378</v>
      </c>
      <c r="B157" s="2" t="s">
        <v>379</v>
      </c>
      <c r="C157" s="3">
        <v>1.2E-2</v>
      </c>
      <c r="D157" s="6" t="s">
        <v>242</v>
      </c>
      <c r="E157">
        <f>(30-C157*100)*VLOOKUP($D157,Calc!$A$1:$C$6,3,FALSE)</f>
        <v>72</v>
      </c>
      <c r="F157" s="6">
        <f>VLOOKUP(D157,Calc!$A$1:$B$6,2,FALSE)</f>
        <v>3</v>
      </c>
      <c r="G157" s="10">
        <f t="shared" si="24"/>
        <v>1.23E-2</v>
      </c>
      <c r="H157" s="9">
        <f t="shared" si="25"/>
        <v>8.2999999999999998E-5</v>
      </c>
      <c r="I157" s="10">
        <f t="shared" si="26"/>
        <v>1.2308299999999999E-2</v>
      </c>
      <c r="J157" s="10">
        <f t="shared" si="27"/>
        <v>1.2308299999999999E-2</v>
      </c>
      <c r="K157" s="10" t="str">
        <f t="shared" si="28"/>
        <v/>
      </c>
      <c r="L157" s="9">
        <f t="shared" si="29"/>
        <v>2.9876917000000001</v>
      </c>
      <c r="M157" s="9">
        <f t="shared" si="30"/>
        <v>2.9876917000000001</v>
      </c>
      <c r="N157" s="9" t="str">
        <f t="shared" si="31"/>
        <v/>
      </c>
      <c r="O157" s="4" t="s">
        <v>755</v>
      </c>
      <c r="P157" s="1" t="s">
        <v>761</v>
      </c>
      <c r="Q157" s="7" t="s">
        <v>1259</v>
      </c>
      <c r="R157" s="7" t="s">
        <v>1260</v>
      </c>
      <c r="S157" s="8" t="s">
        <v>1261</v>
      </c>
      <c r="T157" s="7"/>
      <c r="U157" t="str">
        <f t="shared" si="32"/>
        <v/>
      </c>
      <c r="V157" t="str">
        <f t="shared" si="33"/>
        <v/>
      </c>
      <c r="W157" t="str">
        <f t="shared" si="34"/>
        <v/>
      </c>
      <c r="X157" t="str">
        <f t="shared" si="35"/>
        <v/>
      </c>
      <c r="Y157" t="e">
        <f>VLOOKUP($A157,Runs!$G:$G,1,FALSE)</f>
        <v>#N/A</v>
      </c>
    </row>
    <row r="158" spans="1:25" ht="22.5" customHeight="1" x14ac:dyDescent="0.25">
      <c r="A158" s="2" t="s">
        <v>362</v>
      </c>
      <c r="B158" s="2" t="s">
        <v>363</v>
      </c>
      <c r="C158" s="3">
        <v>1.2E-2</v>
      </c>
      <c r="D158" s="6" t="s">
        <v>242</v>
      </c>
      <c r="E158">
        <f>(30-C158*100)*VLOOKUP($D158,Calc!$A$1:$C$6,3,FALSE)</f>
        <v>72</v>
      </c>
      <c r="F158" s="6">
        <f>VLOOKUP(D158,Calc!$A$1:$B$6,2,FALSE)</f>
        <v>3</v>
      </c>
      <c r="G158" s="10">
        <f t="shared" si="24"/>
        <v>1.23E-2</v>
      </c>
      <c r="H158" s="9">
        <f t="shared" si="25"/>
        <v>5.8E-5</v>
      </c>
      <c r="I158" s="10">
        <f t="shared" si="26"/>
        <v>1.23058E-2</v>
      </c>
      <c r="J158" s="10">
        <f t="shared" si="27"/>
        <v>1.23058E-2</v>
      </c>
      <c r="K158" s="10" t="str">
        <f t="shared" si="28"/>
        <v/>
      </c>
      <c r="L158" s="9">
        <f t="shared" si="29"/>
        <v>2.9876942</v>
      </c>
      <c r="M158" s="9">
        <f t="shared" si="30"/>
        <v>2.9876942</v>
      </c>
      <c r="N158" s="9" t="str">
        <f t="shared" si="31"/>
        <v/>
      </c>
      <c r="O158" s="4" t="s">
        <v>755</v>
      </c>
      <c r="P158" s="1" t="s">
        <v>1688</v>
      </c>
      <c r="Q158" s="7" t="s">
        <v>1234</v>
      </c>
      <c r="R158" s="7" t="s">
        <v>1235</v>
      </c>
      <c r="S158" s="8" t="s">
        <v>1236</v>
      </c>
      <c r="T158" s="7"/>
      <c r="U158" t="str">
        <f t="shared" si="32"/>
        <v/>
      </c>
      <c r="V158" t="str">
        <f t="shared" si="33"/>
        <v/>
      </c>
      <c r="W158" t="str">
        <f t="shared" si="34"/>
        <v/>
      </c>
      <c r="X158" t="str">
        <f t="shared" si="35"/>
        <v/>
      </c>
      <c r="Y158" t="e">
        <f>VLOOKUP($A158,Runs!$G:$G,1,FALSE)</f>
        <v>#N/A</v>
      </c>
    </row>
    <row r="159" spans="1:25" ht="22.5" customHeight="1" x14ac:dyDescent="0.25">
      <c r="A159" s="2" t="s">
        <v>321</v>
      </c>
      <c r="B159" s="2" t="s">
        <v>322</v>
      </c>
      <c r="C159" s="3">
        <v>1.2E-2</v>
      </c>
      <c r="D159" s="6" t="s">
        <v>242</v>
      </c>
      <c r="E159">
        <f>(30-C159*100)*VLOOKUP($D159,Calc!$A$1:$C$6,3,FALSE)</f>
        <v>72</v>
      </c>
      <c r="F159" s="6">
        <f>VLOOKUP(D159,Calc!$A$1:$B$6,2,FALSE)</f>
        <v>3</v>
      </c>
      <c r="G159" s="10">
        <f t="shared" si="24"/>
        <v>1.23E-2</v>
      </c>
      <c r="H159" s="9">
        <f t="shared" si="25"/>
        <v>4.6999999999999997E-5</v>
      </c>
      <c r="I159" s="10">
        <f t="shared" si="26"/>
        <v>1.23047E-2</v>
      </c>
      <c r="J159" s="10">
        <f t="shared" si="27"/>
        <v>1.23047E-2</v>
      </c>
      <c r="K159" s="10" t="str">
        <f t="shared" si="28"/>
        <v/>
      </c>
      <c r="L159" s="9">
        <f t="shared" si="29"/>
        <v>2.9876952999999999</v>
      </c>
      <c r="M159" s="9">
        <f t="shared" si="30"/>
        <v>2.9876952999999999</v>
      </c>
      <c r="N159" s="9" t="str">
        <f t="shared" si="31"/>
        <v/>
      </c>
      <c r="O159" s="4" t="s">
        <v>755</v>
      </c>
      <c r="P159" s="1" t="s">
        <v>1675</v>
      </c>
      <c r="Q159" s="7"/>
      <c r="R159" s="7" t="s">
        <v>1164</v>
      </c>
      <c r="S159" s="8" t="s">
        <v>1165</v>
      </c>
      <c r="T159" s="7"/>
      <c r="U159" t="str">
        <f t="shared" si="32"/>
        <v/>
      </c>
      <c r="V159" t="str">
        <f t="shared" si="33"/>
        <v/>
      </c>
      <c r="W159" t="str">
        <f t="shared" si="34"/>
        <v/>
      </c>
      <c r="X159" t="str">
        <f t="shared" si="35"/>
        <v/>
      </c>
      <c r="Y159" t="e">
        <f>VLOOKUP($A159,Runs!$G:$G,1,FALSE)</f>
        <v>#N/A</v>
      </c>
    </row>
    <row r="160" spans="1:25" ht="22.5" customHeight="1" x14ac:dyDescent="0.25">
      <c r="A160" s="2" t="s">
        <v>289</v>
      </c>
      <c r="B160" s="2" t="s">
        <v>290</v>
      </c>
      <c r="C160" s="3">
        <v>1.2E-2</v>
      </c>
      <c r="D160" s="6" t="s">
        <v>242</v>
      </c>
      <c r="E160">
        <f>(30-C160*100)*VLOOKUP($D160,Calc!$A$1:$C$6,3,FALSE)</f>
        <v>72</v>
      </c>
      <c r="F160" s="6">
        <f>VLOOKUP(D160,Calc!$A$1:$B$6,2,FALSE)</f>
        <v>3</v>
      </c>
      <c r="G160" s="10">
        <f t="shared" si="24"/>
        <v>1.23E-2</v>
      </c>
      <c r="H160" s="9">
        <f t="shared" si="25"/>
        <v>4.6999999999999997E-5</v>
      </c>
      <c r="I160" s="10">
        <f t="shared" si="26"/>
        <v>1.23047E-2</v>
      </c>
      <c r="J160" s="10" t="str">
        <f t="shared" si="27"/>
        <v/>
      </c>
      <c r="K160" s="10">
        <f t="shared" si="28"/>
        <v>1.23047E-2</v>
      </c>
      <c r="L160" s="9">
        <f t="shared" si="29"/>
        <v>2.9876952999999999</v>
      </c>
      <c r="M160" s="9" t="str">
        <f t="shared" si="30"/>
        <v/>
      </c>
      <c r="N160" s="9">
        <f t="shared" si="31"/>
        <v>2.9876952999999999</v>
      </c>
      <c r="O160" s="4"/>
      <c r="Q160" s="7"/>
      <c r="R160" s="7" t="s">
        <v>1113</v>
      </c>
      <c r="S160" s="8" t="s">
        <v>1114</v>
      </c>
      <c r="T160" s="7"/>
      <c r="U160" t="str">
        <f t="shared" si="32"/>
        <v/>
      </c>
      <c r="V160">
        <f t="shared" si="33"/>
        <v>1.23047E-2</v>
      </c>
      <c r="W160" t="str">
        <f t="shared" si="34"/>
        <v/>
      </c>
      <c r="X160" t="str">
        <f t="shared" si="35"/>
        <v/>
      </c>
      <c r="Y160" t="str">
        <f>VLOOKUP($A160,Runs!$G:$G,1,FALSE)</f>
        <v>Great Moravia</v>
      </c>
    </row>
    <row r="161" spans="1:25" ht="22.5" customHeight="1" x14ac:dyDescent="0.25">
      <c r="A161" s="2" t="s">
        <v>287</v>
      </c>
      <c r="B161" s="2" t="s">
        <v>672</v>
      </c>
      <c r="C161" s="3">
        <v>1.2E-2</v>
      </c>
      <c r="D161" s="6" t="s">
        <v>242</v>
      </c>
      <c r="E161">
        <f>(30-C161*100)*VLOOKUP($D161,Calc!$A$1:$C$6,3,FALSE)</f>
        <v>72</v>
      </c>
      <c r="F161" s="6">
        <f>VLOOKUP(D161,Calc!$A$1:$B$6,2,FALSE)</f>
        <v>3</v>
      </c>
      <c r="G161" s="10">
        <f t="shared" si="24"/>
        <v>1.23E-2</v>
      </c>
      <c r="H161" s="9">
        <f t="shared" si="25"/>
        <v>3.3000000000000003E-5</v>
      </c>
      <c r="I161" s="10">
        <f t="shared" si="26"/>
        <v>1.23033E-2</v>
      </c>
      <c r="J161" s="10" t="str">
        <f t="shared" si="27"/>
        <v/>
      </c>
      <c r="K161" s="10">
        <f t="shared" si="28"/>
        <v>1.23033E-2</v>
      </c>
      <c r="L161" s="9">
        <f t="shared" si="29"/>
        <v>2.9876966999999999</v>
      </c>
      <c r="M161" s="9" t="str">
        <f t="shared" si="30"/>
        <v/>
      </c>
      <c r="N161" s="9">
        <f t="shared" si="31"/>
        <v>2.9876966999999999</v>
      </c>
      <c r="O161" s="4"/>
      <c r="Q161" s="7" t="s">
        <v>1107</v>
      </c>
      <c r="R161" s="7" t="s">
        <v>1108</v>
      </c>
      <c r="S161" s="8" t="s">
        <v>1109</v>
      </c>
      <c r="T161" s="7"/>
      <c r="U161" t="str">
        <f t="shared" si="32"/>
        <v/>
      </c>
      <c r="V161">
        <f t="shared" si="33"/>
        <v>1.23033E-2</v>
      </c>
      <c r="W161" t="str">
        <f t="shared" si="34"/>
        <v/>
      </c>
      <c r="X161" t="str">
        <f t="shared" si="35"/>
        <v/>
      </c>
      <c r="Y161" t="str">
        <f>VLOOKUP($A161,Runs!$G:$G,1,FALSE)</f>
        <v>Golden Horn</v>
      </c>
    </row>
    <row r="162" spans="1:25" ht="22.5" customHeight="1" x14ac:dyDescent="0.25">
      <c r="A162" s="2" t="s">
        <v>83</v>
      </c>
      <c r="B162" s="2" t="s">
        <v>84</v>
      </c>
      <c r="C162" s="3">
        <v>1.2E-2</v>
      </c>
      <c r="D162" s="6" t="s">
        <v>2</v>
      </c>
      <c r="E162">
        <f>(30-C162*100)*VLOOKUP($D162,Calc!$A$1:$C$6,3,FALSE)</f>
        <v>14.4</v>
      </c>
      <c r="F162" s="6">
        <f>VLOOKUP(D162,Calc!$A$1:$B$6,2,FALSE)</f>
        <v>1</v>
      </c>
      <c r="G162" s="10">
        <f t="shared" si="24"/>
        <v>1.21E-2</v>
      </c>
      <c r="H162" s="9">
        <f t="shared" si="25"/>
        <v>3.6000000000000001E-5</v>
      </c>
      <c r="I162" s="10">
        <f t="shared" si="26"/>
        <v>1.2103599999999999E-2</v>
      </c>
      <c r="J162" s="10" t="str">
        <f t="shared" si="27"/>
        <v/>
      </c>
      <c r="K162" s="10">
        <f t="shared" si="28"/>
        <v>1.2103599999999999E-2</v>
      </c>
      <c r="L162" s="9">
        <f t="shared" si="29"/>
        <v>0.98789640000000001</v>
      </c>
      <c r="M162" s="9" t="str">
        <f t="shared" si="30"/>
        <v/>
      </c>
      <c r="N162" s="9">
        <f t="shared" si="31"/>
        <v>0.98789640000000001</v>
      </c>
      <c r="O162" s="4"/>
      <c r="Q162" s="7"/>
      <c r="R162" s="7" t="s">
        <v>913</v>
      </c>
      <c r="S162" s="8" t="s">
        <v>914</v>
      </c>
      <c r="T162" s="7"/>
      <c r="U162" t="str">
        <f t="shared" si="32"/>
        <v/>
      </c>
      <c r="V162" t="str">
        <f t="shared" si="33"/>
        <v/>
      </c>
      <c r="W162" t="str">
        <f t="shared" si="34"/>
        <v/>
      </c>
      <c r="X162">
        <f t="shared" si="35"/>
        <v>1.2103599999999999E-2</v>
      </c>
      <c r="Y162" t="e">
        <f>VLOOKUP($A162,Runs!$G:$G,1,FALSE)</f>
        <v>#N/A</v>
      </c>
    </row>
    <row r="163" spans="1:25" ht="22.5" customHeight="1" x14ac:dyDescent="0.25">
      <c r="A163" s="2" t="s">
        <v>184</v>
      </c>
      <c r="B163" s="2" t="s">
        <v>185</v>
      </c>
      <c r="C163" s="3">
        <v>1.2999999999999999E-2</v>
      </c>
      <c r="D163" s="6" t="s">
        <v>105</v>
      </c>
      <c r="E163">
        <f>(30-C163*100)*VLOOKUP($D163,Calc!$A$1:$C$6,3,FALSE)</f>
        <v>28.7</v>
      </c>
      <c r="F163" s="6">
        <f>VLOOKUP(D163,Calc!$A$1:$B$6,2,FALSE)</f>
        <v>2</v>
      </c>
      <c r="G163" s="10">
        <f t="shared" si="24"/>
        <v>1.32E-2</v>
      </c>
      <c r="H163" s="9">
        <f t="shared" si="25"/>
        <v>6.6000000000000005E-5</v>
      </c>
      <c r="I163" s="10">
        <f t="shared" si="26"/>
        <v>1.3206600000000001E-2</v>
      </c>
      <c r="J163" s="10" t="str">
        <f t="shared" si="27"/>
        <v/>
      </c>
      <c r="K163" s="10">
        <f t="shared" si="28"/>
        <v>1.3206600000000001E-2</v>
      </c>
      <c r="L163" s="9">
        <f t="shared" si="29"/>
        <v>1.9867934</v>
      </c>
      <c r="M163" s="9" t="str">
        <f t="shared" si="30"/>
        <v/>
      </c>
      <c r="N163" s="9">
        <f t="shared" si="31"/>
        <v>1.9867934</v>
      </c>
      <c r="O163" s="4"/>
      <c r="Q163" s="7" t="s">
        <v>1005</v>
      </c>
      <c r="R163" s="7" t="s">
        <v>1006</v>
      </c>
      <c r="S163" s="8" t="s">
        <v>1007</v>
      </c>
      <c r="T163" s="7"/>
      <c r="U163">
        <f t="shared" si="32"/>
        <v>1.3206600000000001E-2</v>
      </c>
      <c r="V163" t="str">
        <f t="shared" si="33"/>
        <v/>
      </c>
      <c r="W163" t="str">
        <f t="shared" si="34"/>
        <v/>
      </c>
      <c r="X163" t="str">
        <f t="shared" si="35"/>
        <v/>
      </c>
      <c r="Y163" t="e">
        <f>VLOOKUP($A163,Runs!$G:$G,1,FALSE)</f>
        <v>#N/A</v>
      </c>
    </row>
    <row r="164" spans="1:25" ht="22.5" customHeight="1" x14ac:dyDescent="0.25">
      <c r="A164" s="2" t="s">
        <v>476</v>
      </c>
      <c r="B164" s="2" t="s">
        <v>679</v>
      </c>
      <c r="C164" s="3">
        <v>1.2999999999999999E-2</v>
      </c>
      <c r="D164" s="6" t="s">
        <v>434</v>
      </c>
      <c r="E164">
        <f>(30-C164*100)*VLOOKUP($D164,Calc!$A$1:$C$6,3,FALSE)</f>
        <v>143.5</v>
      </c>
      <c r="F164" s="6">
        <f>VLOOKUP(D164,Calc!$A$1:$B$6,2,FALSE)</f>
        <v>4</v>
      </c>
      <c r="G164" s="10">
        <f t="shared" si="24"/>
        <v>1.3399999999999999E-2</v>
      </c>
      <c r="H164" s="9">
        <f t="shared" si="25"/>
        <v>7.4999999999999993E-5</v>
      </c>
      <c r="I164" s="10">
        <f t="shared" si="26"/>
        <v>1.3407499999999999E-2</v>
      </c>
      <c r="J164" s="10">
        <f t="shared" si="27"/>
        <v>1.3407499999999999E-2</v>
      </c>
      <c r="K164" s="10" t="str">
        <f t="shared" si="28"/>
        <v/>
      </c>
      <c r="L164" s="9">
        <f t="shared" si="29"/>
        <v>3.9865925</v>
      </c>
      <c r="M164" s="9">
        <f t="shared" si="30"/>
        <v>3.9865925</v>
      </c>
      <c r="N164" s="9" t="str">
        <f t="shared" si="31"/>
        <v/>
      </c>
      <c r="O164" s="4" t="s">
        <v>755</v>
      </c>
      <c r="P164" s="1" t="s">
        <v>1864</v>
      </c>
      <c r="Q164" s="7" t="s">
        <v>1346</v>
      </c>
      <c r="R164" s="7" t="s">
        <v>1347</v>
      </c>
      <c r="S164" s="8" t="s">
        <v>1348</v>
      </c>
      <c r="T164" s="7"/>
      <c r="U164" t="str">
        <f t="shared" si="32"/>
        <v/>
      </c>
      <c r="V164" t="str">
        <f t="shared" si="33"/>
        <v/>
      </c>
      <c r="W164" t="str">
        <f t="shared" si="34"/>
        <v/>
      </c>
      <c r="X164" t="str">
        <f t="shared" si="35"/>
        <v/>
      </c>
      <c r="Y164" t="str">
        <f>VLOOKUP($A164,Runs!$G:$G,1,FALSE)</f>
        <v>Holy Trinity</v>
      </c>
    </row>
    <row r="165" spans="1:25" ht="22.5" customHeight="1" x14ac:dyDescent="0.25">
      <c r="A165" s="2" t="s">
        <v>471</v>
      </c>
      <c r="B165" s="2" t="s">
        <v>472</v>
      </c>
      <c r="C165" s="3">
        <v>1.2999999999999999E-2</v>
      </c>
      <c r="D165" s="6" t="s">
        <v>434</v>
      </c>
      <c r="E165">
        <f>(30-C165*100)*VLOOKUP($D165,Calc!$A$1:$C$6,3,FALSE)</f>
        <v>143.5</v>
      </c>
      <c r="F165" s="6">
        <f>VLOOKUP(D165,Calc!$A$1:$B$6,2,FALSE)</f>
        <v>4</v>
      </c>
      <c r="G165" s="10">
        <f t="shared" si="24"/>
        <v>1.3399999999999999E-2</v>
      </c>
      <c r="H165" s="9">
        <f t="shared" si="25"/>
        <v>4.3000000000000002E-5</v>
      </c>
      <c r="I165" s="10">
        <f t="shared" si="26"/>
        <v>1.3404299999999999E-2</v>
      </c>
      <c r="J165" s="10">
        <f t="shared" si="27"/>
        <v>1.3404299999999999E-2</v>
      </c>
      <c r="K165" s="10" t="str">
        <f t="shared" si="28"/>
        <v/>
      </c>
      <c r="L165" s="9">
        <f t="shared" si="29"/>
        <v>3.9865957000000001</v>
      </c>
      <c r="M165" s="9">
        <f t="shared" si="30"/>
        <v>3.9865957000000001</v>
      </c>
      <c r="N165" s="9" t="str">
        <f t="shared" si="31"/>
        <v/>
      </c>
      <c r="O165" s="4" t="s">
        <v>755</v>
      </c>
      <c r="P165" s="1" t="s">
        <v>1697</v>
      </c>
      <c r="Q165" s="7" t="s">
        <v>1338</v>
      </c>
      <c r="R165" s="7" t="s">
        <v>1339</v>
      </c>
      <c r="S165" s="8" t="s">
        <v>1340</v>
      </c>
      <c r="T165" s="7"/>
      <c r="U165" t="str">
        <f t="shared" si="32"/>
        <v/>
      </c>
      <c r="V165" t="str">
        <f t="shared" si="33"/>
        <v/>
      </c>
      <c r="W165" t="str">
        <f t="shared" si="34"/>
        <v/>
      </c>
      <c r="X165" t="str">
        <f t="shared" si="35"/>
        <v/>
      </c>
      <c r="Y165" t="e">
        <f>VLOOKUP($A165,Runs!$G:$G,1,FALSE)</f>
        <v>#N/A</v>
      </c>
    </row>
    <row r="166" spans="1:25" ht="22.5" customHeight="1" x14ac:dyDescent="0.25">
      <c r="A166" s="2" t="s">
        <v>439</v>
      </c>
      <c r="B166" s="2" t="s">
        <v>664</v>
      </c>
      <c r="C166" s="3">
        <v>1.2999999999999999E-2</v>
      </c>
      <c r="D166" s="6" t="s">
        <v>434</v>
      </c>
      <c r="E166">
        <f>(30-C166*100)*VLOOKUP($D166,Calc!$A$1:$C$6,3,FALSE)</f>
        <v>143.5</v>
      </c>
      <c r="F166" s="6">
        <f>VLOOKUP(D166,Calc!$A$1:$B$6,2,FALSE)</f>
        <v>4</v>
      </c>
      <c r="G166" s="10">
        <f t="shared" si="24"/>
        <v>1.3399999999999999E-2</v>
      </c>
      <c r="H166" s="9">
        <f t="shared" si="25"/>
        <v>4.8999999999999998E-5</v>
      </c>
      <c r="I166" s="10">
        <f t="shared" si="26"/>
        <v>1.3404899999999999E-2</v>
      </c>
      <c r="J166" s="10">
        <f t="shared" si="27"/>
        <v>1.3404899999999999E-2</v>
      </c>
      <c r="K166" s="10" t="str">
        <f t="shared" si="28"/>
        <v/>
      </c>
      <c r="L166" s="9">
        <f t="shared" si="29"/>
        <v>3.9865951000000002</v>
      </c>
      <c r="M166" s="9">
        <f t="shared" si="30"/>
        <v>3.9865951000000002</v>
      </c>
      <c r="N166" s="9" t="str">
        <f t="shared" si="31"/>
        <v/>
      </c>
      <c r="O166" s="4" t="s">
        <v>755</v>
      </c>
      <c r="P166" s="1" t="s">
        <v>2026</v>
      </c>
      <c r="Q166" s="7" t="s">
        <v>1094</v>
      </c>
      <c r="R166" s="7" t="s">
        <v>1095</v>
      </c>
      <c r="S166" s="7" t="s">
        <v>1096</v>
      </c>
      <c r="T166" s="7" t="s">
        <v>775</v>
      </c>
      <c r="U166" t="str">
        <f t="shared" si="32"/>
        <v/>
      </c>
      <c r="V166" t="str">
        <f t="shared" si="33"/>
        <v/>
      </c>
      <c r="W166" t="str">
        <f t="shared" si="34"/>
        <v/>
      </c>
      <c r="X166" t="str">
        <f t="shared" si="35"/>
        <v/>
      </c>
      <c r="Y166" t="str">
        <f>VLOOKUP($A166,Runs!$G:$G,1,FALSE)</f>
        <v>For Odin!</v>
      </c>
    </row>
    <row r="167" spans="1:25" ht="22.5" customHeight="1" x14ac:dyDescent="0.25">
      <c r="A167" s="2" t="s">
        <v>465</v>
      </c>
      <c r="B167" s="2" t="s">
        <v>661</v>
      </c>
      <c r="C167" s="3">
        <v>1.2999999999999999E-2</v>
      </c>
      <c r="D167" s="6" t="s">
        <v>434</v>
      </c>
      <c r="E167">
        <f>(30-C167*100)*VLOOKUP($D167,Calc!$A$1:$C$6,3,FALSE)</f>
        <v>143.5</v>
      </c>
      <c r="F167" s="6">
        <f>VLOOKUP(D167,Calc!$A$1:$B$6,2,FALSE)</f>
        <v>4</v>
      </c>
      <c r="G167" s="10">
        <f t="shared" si="24"/>
        <v>1.3399999999999999E-2</v>
      </c>
      <c r="H167" s="9">
        <f t="shared" si="25"/>
        <v>3.4999999999999997E-5</v>
      </c>
      <c r="I167" s="10">
        <f t="shared" si="26"/>
        <v>1.3403499999999999E-2</v>
      </c>
      <c r="J167" s="10">
        <f t="shared" si="27"/>
        <v>1.3403499999999999E-2</v>
      </c>
      <c r="K167" s="10" t="str">
        <f t="shared" si="28"/>
        <v/>
      </c>
      <c r="L167" s="9">
        <f t="shared" si="29"/>
        <v>3.9865965000000001</v>
      </c>
      <c r="M167" s="9">
        <f t="shared" si="30"/>
        <v>3.9865965000000001</v>
      </c>
      <c r="N167" s="9" t="str">
        <f t="shared" si="31"/>
        <v/>
      </c>
      <c r="O167" s="4" t="s">
        <v>755</v>
      </c>
      <c r="P167" s="1" t="s">
        <v>1682</v>
      </c>
      <c r="Q167" s="7" t="s">
        <v>1323</v>
      </c>
      <c r="R167" s="7" t="s">
        <v>1324</v>
      </c>
      <c r="S167" s="8" t="s">
        <v>1325</v>
      </c>
      <c r="T167" s="7"/>
      <c r="U167" t="str">
        <f t="shared" si="32"/>
        <v/>
      </c>
      <c r="V167" t="str">
        <f t="shared" si="33"/>
        <v/>
      </c>
      <c r="W167" t="str">
        <f t="shared" si="34"/>
        <v/>
      </c>
      <c r="X167" t="str">
        <f t="shared" si="35"/>
        <v/>
      </c>
      <c r="Y167" t="e">
        <f>VLOOKUP($A167,Runs!$G:$G,1,FALSE)</f>
        <v>#N/A</v>
      </c>
    </row>
    <row r="168" spans="1:25" ht="22.5" customHeight="1" x14ac:dyDescent="0.25">
      <c r="A168" s="2" t="s">
        <v>533</v>
      </c>
      <c r="B168" s="2" t="s">
        <v>534</v>
      </c>
      <c r="C168" s="3">
        <v>1.2999999999999999E-2</v>
      </c>
      <c r="D168" s="6" t="s">
        <v>434</v>
      </c>
      <c r="E168">
        <f>(30-C168*100)*VLOOKUP($D168,Calc!$A$1:$C$6,3,FALSE)</f>
        <v>143.5</v>
      </c>
      <c r="F168" s="6">
        <f>VLOOKUP(D168,Calc!$A$1:$B$6,2,FALSE)</f>
        <v>4</v>
      </c>
      <c r="G168" s="10">
        <f t="shared" si="24"/>
        <v>1.3399999999999999E-2</v>
      </c>
      <c r="H168" s="9">
        <f t="shared" si="25"/>
        <v>2.0000000000000002E-5</v>
      </c>
      <c r="I168" s="10">
        <f t="shared" si="26"/>
        <v>1.3401999999999999E-2</v>
      </c>
      <c r="J168" s="10">
        <f t="shared" si="27"/>
        <v>1.3401999999999999E-2</v>
      </c>
      <c r="K168" s="10" t="str">
        <f t="shared" si="28"/>
        <v/>
      </c>
      <c r="L168" s="9">
        <f t="shared" si="29"/>
        <v>3.9865979999999999</v>
      </c>
      <c r="M168" s="9">
        <f t="shared" si="30"/>
        <v>3.9865979999999999</v>
      </c>
      <c r="N168" s="9" t="str">
        <f t="shared" si="31"/>
        <v/>
      </c>
      <c r="O168" s="4" t="s">
        <v>755</v>
      </c>
      <c r="P168" s="1" t="s">
        <v>765</v>
      </c>
      <c r="Q168" s="7" t="s">
        <v>1466</v>
      </c>
      <c r="R168" s="7" t="s">
        <v>1467</v>
      </c>
      <c r="S168" s="8" t="s">
        <v>1468</v>
      </c>
      <c r="T168" s="7"/>
      <c r="U168" t="str">
        <f t="shared" si="32"/>
        <v/>
      </c>
      <c r="V168" t="str">
        <f t="shared" si="33"/>
        <v/>
      </c>
      <c r="W168" t="str">
        <f t="shared" si="34"/>
        <v/>
      </c>
      <c r="X168" t="str">
        <f t="shared" si="35"/>
        <v/>
      </c>
      <c r="Y168" t="e">
        <f>VLOOKUP($A168,Runs!$G:$G,1,FALSE)</f>
        <v>#N/A</v>
      </c>
    </row>
    <row r="169" spans="1:25" ht="22.5" customHeight="1" x14ac:dyDescent="0.25">
      <c r="A169" s="2" t="s">
        <v>449</v>
      </c>
      <c r="B169" s="2" t="s">
        <v>450</v>
      </c>
      <c r="C169" s="3">
        <v>1.2999999999999999E-2</v>
      </c>
      <c r="D169" s="6" t="s">
        <v>434</v>
      </c>
      <c r="E169">
        <f>(30-C169*100)*VLOOKUP($D169,Calc!$A$1:$C$6,3,FALSE)</f>
        <v>143.5</v>
      </c>
      <c r="F169" s="6">
        <f>VLOOKUP(D169,Calc!$A$1:$B$6,2,FALSE)</f>
        <v>4</v>
      </c>
      <c r="G169" s="10">
        <f t="shared" si="24"/>
        <v>1.3399999999999999E-2</v>
      </c>
      <c r="H169" s="9">
        <f t="shared" si="25"/>
        <v>1.16E-4</v>
      </c>
      <c r="I169" s="10">
        <f t="shared" si="26"/>
        <v>1.3411599999999999E-2</v>
      </c>
      <c r="J169" s="10" t="str">
        <f t="shared" si="27"/>
        <v/>
      </c>
      <c r="K169" s="10">
        <f t="shared" si="28"/>
        <v>1.3411599999999999E-2</v>
      </c>
      <c r="L169" s="9">
        <f t="shared" si="29"/>
        <v>3.9865884</v>
      </c>
      <c r="M169" s="9" t="str">
        <f t="shared" si="30"/>
        <v/>
      </c>
      <c r="N169" s="9">
        <f t="shared" si="31"/>
        <v>3.9865884</v>
      </c>
      <c r="O169" s="4"/>
      <c r="Q169" s="7" t="s">
        <v>1286</v>
      </c>
      <c r="R169" s="7" t="s">
        <v>1287</v>
      </c>
      <c r="S169" s="8" t="s">
        <v>1288</v>
      </c>
      <c r="T169" s="7"/>
      <c r="U169" t="str">
        <f t="shared" si="32"/>
        <v/>
      </c>
      <c r="V169" t="str">
        <f t="shared" si="33"/>
        <v/>
      </c>
      <c r="W169">
        <f t="shared" si="34"/>
        <v>1.3411599999999999E-2</v>
      </c>
      <c r="X169" t="str">
        <f t="shared" si="35"/>
        <v/>
      </c>
      <c r="Y169" t="str">
        <f>VLOOKUP($A169,Runs!$G:$G,1,FALSE)</f>
        <v>A Hero’s Welcome</v>
      </c>
    </row>
    <row r="170" spans="1:25" ht="22.5" customHeight="1" x14ac:dyDescent="0.25">
      <c r="A170" s="2" t="s">
        <v>627</v>
      </c>
      <c r="B170" s="2" t="s">
        <v>628</v>
      </c>
      <c r="C170" s="3">
        <v>1.2999999999999999E-2</v>
      </c>
      <c r="D170" s="6" t="s">
        <v>626</v>
      </c>
      <c r="E170">
        <f>(30-C170*100)*VLOOKUP($D170,Calc!$A$1:$C$6,3,FALSE)</f>
        <v>861</v>
      </c>
      <c r="F170" s="6">
        <f>VLOOKUP(D170,Calc!$A$1:$B$6,2,FALSE)</f>
        <v>6</v>
      </c>
      <c r="G170" s="10">
        <f t="shared" si="24"/>
        <v>1.3599999999999999E-2</v>
      </c>
      <c r="H170" s="9">
        <f t="shared" si="25"/>
        <v>3.8000000000000002E-5</v>
      </c>
      <c r="I170" s="10">
        <f t="shared" si="26"/>
        <v>1.3603799999999999E-2</v>
      </c>
      <c r="J170" s="10" t="str">
        <f t="shared" si="27"/>
        <v/>
      </c>
      <c r="K170" s="10">
        <f t="shared" si="28"/>
        <v>1.3603799999999999E-2</v>
      </c>
      <c r="L170" s="9">
        <f t="shared" si="29"/>
        <v>5.9863961999999997</v>
      </c>
      <c r="M170" s="9" t="str">
        <f t="shared" si="30"/>
        <v/>
      </c>
      <c r="N170" s="9">
        <f t="shared" si="31"/>
        <v>5.9863961999999997</v>
      </c>
      <c r="O170" s="4"/>
      <c r="Q170" s="7"/>
      <c r="R170" s="7" t="s">
        <v>1583</v>
      </c>
      <c r="S170" s="8" t="s">
        <v>1584</v>
      </c>
      <c r="T170" s="7"/>
      <c r="U170" t="str">
        <f t="shared" si="32"/>
        <v/>
      </c>
      <c r="V170" t="str">
        <f t="shared" si="33"/>
        <v/>
      </c>
      <c r="W170" t="str">
        <f t="shared" si="34"/>
        <v/>
      </c>
      <c r="X170" t="str">
        <f t="shared" si="35"/>
        <v/>
      </c>
      <c r="Y170" t="str">
        <f>VLOOKUP($A170,Runs!$G:$G,1,FALSE)</f>
        <v>One Faith</v>
      </c>
    </row>
    <row r="171" spans="1:25" ht="22.5" customHeight="1" x14ac:dyDescent="0.25">
      <c r="A171" s="2" t="s">
        <v>372</v>
      </c>
      <c r="B171" s="2" t="s">
        <v>739</v>
      </c>
      <c r="C171" s="3">
        <v>1.2999999999999999E-2</v>
      </c>
      <c r="D171" s="6" t="s">
        <v>242</v>
      </c>
      <c r="E171">
        <f>(30-C171*100)*VLOOKUP($D171,Calc!$A$1:$C$6,3,FALSE)</f>
        <v>71.75</v>
      </c>
      <c r="F171" s="6">
        <f>VLOOKUP(D171,Calc!$A$1:$B$6,2,FALSE)</f>
        <v>3</v>
      </c>
      <c r="G171" s="10">
        <f t="shared" si="24"/>
        <v>1.3299999999999999E-2</v>
      </c>
      <c r="H171" s="9">
        <f t="shared" si="25"/>
        <v>2.0000000000000002E-5</v>
      </c>
      <c r="I171" s="10">
        <f t="shared" si="26"/>
        <v>1.3302E-2</v>
      </c>
      <c r="J171" s="10" t="str">
        <f t="shared" si="27"/>
        <v/>
      </c>
      <c r="K171" s="10">
        <f t="shared" si="28"/>
        <v>1.3302E-2</v>
      </c>
      <c r="L171" s="9">
        <f t="shared" si="29"/>
        <v>2.9866980000000001</v>
      </c>
      <c r="M171" s="9" t="str">
        <f t="shared" si="30"/>
        <v/>
      </c>
      <c r="N171" s="9">
        <f t="shared" si="31"/>
        <v>2.9866980000000001</v>
      </c>
      <c r="O171" s="4"/>
      <c r="Q171" s="7"/>
      <c r="R171" s="7" t="s">
        <v>1247</v>
      </c>
      <c r="S171" s="8" t="s">
        <v>1248</v>
      </c>
      <c r="T171" s="7"/>
      <c r="U171" t="str">
        <f t="shared" si="32"/>
        <v/>
      </c>
      <c r="V171">
        <f t="shared" si="33"/>
        <v>1.3302E-2</v>
      </c>
      <c r="W171" t="str">
        <f t="shared" si="34"/>
        <v/>
      </c>
      <c r="X171" t="str">
        <f t="shared" si="35"/>
        <v/>
      </c>
      <c r="Y171" t="e">
        <f>VLOOKUP($A171,Runs!$G:$G,1,FALSE)</f>
        <v>#N/A</v>
      </c>
    </row>
    <row r="172" spans="1:25" ht="22.5" customHeight="1" x14ac:dyDescent="0.25">
      <c r="A172" s="2" t="s">
        <v>418</v>
      </c>
      <c r="B172" s="2" t="s">
        <v>733</v>
      </c>
      <c r="C172" s="3">
        <v>1.2999999999999999E-2</v>
      </c>
      <c r="D172" s="6" t="s">
        <v>242</v>
      </c>
      <c r="E172">
        <f>(30-C172*100)*VLOOKUP($D172,Calc!$A$1:$C$6,3,FALSE)</f>
        <v>71.75</v>
      </c>
      <c r="F172" s="6">
        <f>VLOOKUP(D172,Calc!$A$1:$B$6,2,FALSE)</f>
        <v>3</v>
      </c>
      <c r="G172" s="10">
        <f t="shared" si="24"/>
        <v>1.3299999999999999E-2</v>
      </c>
      <c r="H172" s="9">
        <f t="shared" si="25"/>
        <v>2.3E-5</v>
      </c>
      <c r="I172" s="10">
        <f t="shared" si="26"/>
        <v>1.33023E-2</v>
      </c>
      <c r="J172" s="10">
        <f t="shared" si="27"/>
        <v>1.33023E-2</v>
      </c>
      <c r="K172" s="10" t="str">
        <f t="shared" si="28"/>
        <v/>
      </c>
      <c r="L172" s="9">
        <f t="shared" si="29"/>
        <v>2.9866977000000001</v>
      </c>
      <c r="M172" s="9">
        <f t="shared" si="30"/>
        <v>2.9866977000000001</v>
      </c>
      <c r="N172" s="9" t="str">
        <f t="shared" si="31"/>
        <v/>
      </c>
      <c r="O172" s="4" t="s">
        <v>755</v>
      </c>
      <c r="P172" s="1" t="s">
        <v>759</v>
      </c>
      <c r="Q172" s="7" t="s">
        <v>881</v>
      </c>
      <c r="R172" s="7" t="s">
        <v>1439</v>
      </c>
      <c r="S172" s="8" t="s">
        <v>1440</v>
      </c>
      <c r="T172" s="7"/>
      <c r="U172" t="str">
        <f t="shared" si="32"/>
        <v/>
      </c>
      <c r="V172" t="str">
        <f t="shared" si="33"/>
        <v/>
      </c>
      <c r="W172" t="str">
        <f t="shared" si="34"/>
        <v/>
      </c>
      <c r="X172" t="str">
        <f t="shared" si="35"/>
        <v/>
      </c>
      <c r="Y172" t="e">
        <f>VLOOKUP($A172,Runs!$G:$G,1,FALSE)</f>
        <v>#N/A</v>
      </c>
    </row>
    <row r="173" spans="1:25" ht="22.5" customHeight="1" x14ac:dyDescent="0.25">
      <c r="A173" s="2" t="s">
        <v>328</v>
      </c>
      <c r="B173" s="2" t="s">
        <v>329</v>
      </c>
      <c r="C173" s="3">
        <v>1.2999999999999999E-2</v>
      </c>
      <c r="D173" s="6" t="s">
        <v>242</v>
      </c>
      <c r="E173">
        <f>(30-C173*100)*VLOOKUP($D173,Calc!$A$1:$C$6,3,FALSE)</f>
        <v>71.75</v>
      </c>
      <c r="F173" s="6">
        <f>VLOOKUP(D173,Calc!$A$1:$B$6,2,FALSE)</f>
        <v>3</v>
      </c>
      <c r="G173" s="10">
        <f t="shared" si="24"/>
        <v>1.3299999999999999E-2</v>
      </c>
      <c r="H173" s="9">
        <f t="shared" si="25"/>
        <v>8.7000000000000001E-5</v>
      </c>
      <c r="I173" s="10">
        <f t="shared" si="26"/>
        <v>1.33087E-2</v>
      </c>
      <c r="J173" s="10" t="str">
        <f t="shared" si="27"/>
        <v/>
      </c>
      <c r="K173" s="10">
        <f t="shared" si="28"/>
        <v>1.33087E-2</v>
      </c>
      <c r="L173" s="9">
        <f t="shared" si="29"/>
        <v>2.9866912999999999</v>
      </c>
      <c r="M173" s="9" t="str">
        <f t="shared" si="30"/>
        <v/>
      </c>
      <c r="N173" s="9">
        <f t="shared" si="31"/>
        <v>2.9866912999999999</v>
      </c>
      <c r="O173" s="4"/>
      <c r="Q173" s="7"/>
      <c r="R173" s="7" t="s">
        <v>1172</v>
      </c>
      <c r="S173" s="8" t="s">
        <v>1173</v>
      </c>
      <c r="T173" s="7"/>
      <c r="U173" t="str">
        <f t="shared" si="32"/>
        <v/>
      </c>
      <c r="V173">
        <f t="shared" si="33"/>
        <v>1.33087E-2</v>
      </c>
      <c r="W173" t="str">
        <f t="shared" si="34"/>
        <v/>
      </c>
      <c r="X173" t="str">
        <f t="shared" si="35"/>
        <v/>
      </c>
      <c r="Y173" t="str">
        <f>VLOOKUP($A173,Runs!$G:$G,1,FALSE)</f>
        <v>Parisian Pasha</v>
      </c>
    </row>
    <row r="174" spans="1:25" ht="22.5" customHeight="1" x14ac:dyDescent="0.25">
      <c r="A174" s="2" t="s">
        <v>317</v>
      </c>
      <c r="B174" s="2" t="s">
        <v>318</v>
      </c>
      <c r="C174" s="3">
        <v>1.2999999999999999E-2</v>
      </c>
      <c r="D174" s="6" t="s">
        <v>242</v>
      </c>
      <c r="E174">
        <f>(30-C174*100)*VLOOKUP($D174,Calc!$A$1:$C$6,3,FALSE)</f>
        <v>71.75</v>
      </c>
      <c r="F174" s="6">
        <f>VLOOKUP(D174,Calc!$A$1:$B$6,2,FALSE)</f>
        <v>3</v>
      </c>
      <c r="G174" s="10">
        <f t="shared" si="24"/>
        <v>1.3299999999999999E-2</v>
      </c>
      <c r="H174" s="9">
        <f t="shared" si="25"/>
        <v>1.4E-5</v>
      </c>
      <c r="I174" s="10">
        <f t="shared" si="26"/>
        <v>1.33014E-2</v>
      </c>
      <c r="J174" s="10">
        <f t="shared" si="27"/>
        <v>1.33014E-2</v>
      </c>
      <c r="K174" s="10" t="str">
        <f t="shared" si="28"/>
        <v/>
      </c>
      <c r="L174" s="9">
        <f t="shared" si="29"/>
        <v>2.9866986</v>
      </c>
      <c r="M174" s="9">
        <f t="shared" si="30"/>
        <v>2.9866986</v>
      </c>
      <c r="N174" s="9" t="str">
        <f t="shared" si="31"/>
        <v/>
      </c>
      <c r="O174" s="4" t="s">
        <v>755</v>
      </c>
      <c r="P174" s="1" t="s">
        <v>1712</v>
      </c>
      <c r="Q174" s="7" t="s">
        <v>1157</v>
      </c>
      <c r="R174" s="7" t="s">
        <v>1158</v>
      </c>
      <c r="S174" s="8" t="s">
        <v>1159</v>
      </c>
      <c r="T174" s="7"/>
      <c r="U174" t="str">
        <f t="shared" si="32"/>
        <v/>
      </c>
      <c r="V174" t="str">
        <f t="shared" si="33"/>
        <v/>
      </c>
      <c r="W174" t="str">
        <f t="shared" si="34"/>
        <v/>
      </c>
      <c r="X174" t="str">
        <f t="shared" si="35"/>
        <v/>
      </c>
      <c r="Y174" t="e">
        <f>VLOOKUP($A174,Runs!$G:$G,1,FALSE)</f>
        <v>#N/A</v>
      </c>
    </row>
    <row r="175" spans="1:25" ht="22.5" customHeight="1" x14ac:dyDescent="0.25">
      <c r="A175" s="2" t="s">
        <v>293</v>
      </c>
      <c r="B175" s="2" t="s">
        <v>294</v>
      </c>
      <c r="C175" s="3">
        <v>1.2999999999999999E-2</v>
      </c>
      <c r="D175" s="6" t="s">
        <v>242</v>
      </c>
      <c r="E175">
        <f>(30-C175*100)*VLOOKUP($D175,Calc!$A$1:$C$6,3,FALSE)</f>
        <v>71.75</v>
      </c>
      <c r="F175" s="6">
        <f>VLOOKUP(D175,Calc!$A$1:$B$6,2,FALSE)</f>
        <v>3</v>
      </c>
      <c r="G175" s="10">
        <f t="shared" si="24"/>
        <v>1.3299999999999999E-2</v>
      </c>
      <c r="H175" s="9">
        <f t="shared" si="25"/>
        <v>4.3000000000000002E-5</v>
      </c>
      <c r="I175" s="10">
        <f t="shared" si="26"/>
        <v>1.33043E-2</v>
      </c>
      <c r="J175" s="10">
        <f t="shared" si="27"/>
        <v>1.33043E-2</v>
      </c>
      <c r="K175" s="10" t="str">
        <f t="shared" si="28"/>
        <v/>
      </c>
      <c r="L175" s="9">
        <f t="shared" si="29"/>
        <v>2.9866956999999998</v>
      </c>
      <c r="M175" s="9">
        <f t="shared" si="30"/>
        <v>2.9866956999999998</v>
      </c>
      <c r="N175" s="9" t="str">
        <f t="shared" si="31"/>
        <v/>
      </c>
      <c r="O175" s="4" t="s">
        <v>755</v>
      </c>
      <c r="P175" s="1" t="s">
        <v>1916</v>
      </c>
      <c r="Q175" s="7" t="s">
        <v>1118</v>
      </c>
      <c r="R175" s="8" t="s">
        <v>1119</v>
      </c>
      <c r="S175" s="7"/>
      <c r="T175" s="7"/>
      <c r="U175" t="str">
        <f t="shared" si="32"/>
        <v/>
      </c>
      <c r="V175" t="str">
        <f t="shared" si="33"/>
        <v/>
      </c>
      <c r="W175" t="str">
        <f t="shared" si="34"/>
        <v/>
      </c>
      <c r="X175" t="str">
        <f t="shared" si="35"/>
        <v/>
      </c>
      <c r="Y175" t="str">
        <f>VLOOKUP($A175,Runs!$G:$G,1,FALSE)</f>
        <v>Hessian Mercenaries</v>
      </c>
    </row>
    <row r="176" spans="1:25" ht="22.5" customHeight="1" x14ac:dyDescent="0.25">
      <c r="A176" s="2" t="s">
        <v>267</v>
      </c>
      <c r="B176" s="2" t="s">
        <v>268</v>
      </c>
      <c r="C176" s="3">
        <v>1.2999999999999999E-2</v>
      </c>
      <c r="D176" s="6" t="s">
        <v>242</v>
      </c>
      <c r="E176">
        <f>(30-C176*100)*VLOOKUP($D176,Calc!$A$1:$C$6,3,FALSE)</f>
        <v>71.75</v>
      </c>
      <c r="F176" s="6">
        <f>VLOOKUP(D176,Calc!$A$1:$B$6,2,FALSE)</f>
        <v>3</v>
      </c>
      <c r="G176" s="10">
        <f t="shared" si="24"/>
        <v>1.3299999999999999E-2</v>
      </c>
      <c r="H176" s="9">
        <f t="shared" si="25"/>
        <v>7.6000000000000004E-5</v>
      </c>
      <c r="I176" s="10">
        <f t="shared" si="26"/>
        <v>1.3307599999999999E-2</v>
      </c>
      <c r="J176" s="10">
        <f t="shared" si="27"/>
        <v>1.3307599999999999E-2</v>
      </c>
      <c r="K176" s="10" t="str">
        <f t="shared" si="28"/>
        <v/>
      </c>
      <c r="L176" s="9">
        <f t="shared" si="29"/>
        <v>2.9866923999999999</v>
      </c>
      <c r="M176" s="9">
        <f t="shared" si="30"/>
        <v>2.9866923999999999</v>
      </c>
      <c r="N176" s="9" t="str">
        <f t="shared" si="31"/>
        <v/>
      </c>
      <c r="O176" s="4" t="s">
        <v>755</v>
      </c>
      <c r="P176" s="1" t="s">
        <v>1664</v>
      </c>
      <c r="Q176" s="7" t="s">
        <v>1068</v>
      </c>
      <c r="R176" s="8" t="s">
        <v>1069</v>
      </c>
      <c r="S176" s="7"/>
      <c r="T176" s="7" t="s">
        <v>1070</v>
      </c>
      <c r="U176" t="str">
        <f t="shared" si="32"/>
        <v/>
      </c>
      <c r="V176" t="str">
        <f t="shared" si="33"/>
        <v/>
      </c>
      <c r="W176" t="str">
        <f t="shared" si="34"/>
        <v/>
      </c>
      <c r="X176" t="str">
        <f t="shared" si="35"/>
        <v/>
      </c>
      <c r="Y176" t="e">
        <f>VLOOKUP($A176,Runs!$G:$G,1,FALSE)</f>
        <v>#N/A</v>
      </c>
    </row>
    <row r="177" spans="1:25" ht="22.5" customHeight="1" x14ac:dyDescent="0.25">
      <c r="A177" s="2" t="s">
        <v>24</v>
      </c>
      <c r="B177" s="2" t="s">
        <v>667</v>
      </c>
      <c r="C177" s="3">
        <v>1.2999999999999999E-2</v>
      </c>
      <c r="D177" s="6" t="s">
        <v>2</v>
      </c>
      <c r="E177">
        <f>(30-C177*100)*VLOOKUP($D177,Calc!$A$1:$C$6,3,FALSE)</f>
        <v>14.35</v>
      </c>
      <c r="F177" s="6">
        <f>VLOOKUP(D177,Calc!$A$1:$B$6,2,FALSE)</f>
        <v>1</v>
      </c>
      <c r="G177" s="10">
        <f t="shared" si="24"/>
        <v>1.3099999999999999E-2</v>
      </c>
      <c r="H177" s="9">
        <f t="shared" si="25"/>
        <v>6.2000000000000003E-5</v>
      </c>
      <c r="I177" s="10">
        <f t="shared" si="26"/>
        <v>1.3106199999999998E-2</v>
      </c>
      <c r="J177" s="10" t="str">
        <f t="shared" si="27"/>
        <v/>
      </c>
      <c r="K177" s="10">
        <f t="shared" si="28"/>
        <v>1.3106199999999998E-2</v>
      </c>
      <c r="L177" s="9">
        <f t="shared" si="29"/>
        <v>0.98689380000000004</v>
      </c>
      <c r="M177" s="9" t="str">
        <f t="shared" si="30"/>
        <v/>
      </c>
      <c r="N177" s="9">
        <f t="shared" si="31"/>
        <v>0.98689380000000004</v>
      </c>
      <c r="O177" s="4"/>
      <c r="Q177" s="7" t="s">
        <v>800</v>
      </c>
      <c r="R177" s="7" t="s">
        <v>801</v>
      </c>
      <c r="S177" s="7" t="s">
        <v>802</v>
      </c>
      <c r="T177" s="7" t="s">
        <v>775</v>
      </c>
      <c r="U177" t="str">
        <f t="shared" si="32"/>
        <v/>
      </c>
      <c r="V177" t="str">
        <f t="shared" si="33"/>
        <v/>
      </c>
      <c r="W177" t="str">
        <f t="shared" si="34"/>
        <v/>
      </c>
      <c r="X177">
        <f t="shared" si="35"/>
        <v>1.3106199999999998E-2</v>
      </c>
      <c r="Y177" t="e">
        <f>VLOOKUP($A177,Runs!$G:$G,1,FALSE)</f>
        <v>#N/A</v>
      </c>
    </row>
    <row r="178" spans="1:25" ht="22.5" customHeight="1" x14ac:dyDescent="0.25">
      <c r="A178" s="2" t="s">
        <v>182</v>
      </c>
      <c r="B178" s="2" t="s">
        <v>183</v>
      </c>
      <c r="C178" s="3">
        <v>1.4E-2</v>
      </c>
      <c r="D178" s="6" t="s">
        <v>105</v>
      </c>
      <c r="E178">
        <f>(30-C178*100)*VLOOKUP($D178,Calc!$A$1:$C$6,3,FALSE)</f>
        <v>28.6</v>
      </c>
      <c r="F178" s="6">
        <f>VLOOKUP(D178,Calc!$A$1:$B$6,2,FALSE)</f>
        <v>2</v>
      </c>
      <c r="G178" s="10">
        <f t="shared" si="24"/>
        <v>1.4200000000000001E-2</v>
      </c>
      <c r="H178" s="9">
        <f t="shared" si="25"/>
        <v>7.7000000000000001E-5</v>
      </c>
      <c r="I178" s="10">
        <f t="shared" si="26"/>
        <v>1.42077E-2</v>
      </c>
      <c r="J178" s="10" t="str">
        <f t="shared" si="27"/>
        <v/>
      </c>
      <c r="K178" s="10">
        <f t="shared" si="28"/>
        <v>1.42077E-2</v>
      </c>
      <c r="L178" s="9">
        <f t="shared" si="29"/>
        <v>1.9857923</v>
      </c>
      <c r="M178" s="9" t="str">
        <f t="shared" si="30"/>
        <v/>
      </c>
      <c r="N178" s="9">
        <f t="shared" si="31"/>
        <v>1.9857923</v>
      </c>
      <c r="O178" s="4"/>
      <c r="Q178" s="7" t="s">
        <v>1000</v>
      </c>
      <c r="R178" s="7" t="s">
        <v>1001</v>
      </c>
      <c r="S178" s="8" t="s">
        <v>1002</v>
      </c>
      <c r="T178" s="7"/>
      <c r="U178">
        <f t="shared" si="32"/>
        <v>1.42077E-2</v>
      </c>
      <c r="V178" t="str">
        <f t="shared" si="33"/>
        <v/>
      </c>
      <c r="W178" t="str">
        <f t="shared" si="34"/>
        <v/>
      </c>
      <c r="X178" t="str">
        <f t="shared" si="35"/>
        <v/>
      </c>
      <c r="Y178" t="str">
        <f>VLOOKUP($A178,Runs!$G:$G,1,FALSE)</f>
        <v>Rozwi Empire</v>
      </c>
    </row>
    <row r="179" spans="1:25" ht="22.5" customHeight="1" x14ac:dyDescent="0.25">
      <c r="A179" s="2" t="s">
        <v>178</v>
      </c>
      <c r="B179" s="2" t="s">
        <v>179</v>
      </c>
      <c r="C179" s="3">
        <v>1.4E-2</v>
      </c>
      <c r="D179" s="6" t="s">
        <v>105</v>
      </c>
      <c r="E179">
        <f>(30-C179*100)*VLOOKUP($D179,Calc!$A$1:$C$6,3,FALSE)</f>
        <v>28.6</v>
      </c>
      <c r="F179" s="6">
        <f>VLOOKUP(D179,Calc!$A$1:$B$6,2,FALSE)</f>
        <v>2</v>
      </c>
      <c r="G179" s="10">
        <f t="shared" si="24"/>
        <v>1.4200000000000001E-2</v>
      </c>
      <c r="H179" s="9">
        <f t="shared" si="25"/>
        <v>5.1E-5</v>
      </c>
      <c r="I179" s="10">
        <f t="shared" si="26"/>
        <v>1.42051E-2</v>
      </c>
      <c r="J179" s="10">
        <f t="shared" si="27"/>
        <v>1.42051E-2</v>
      </c>
      <c r="K179" s="10" t="str">
        <f t="shared" si="28"/>
        <v/>
      </c>
      <c r="L179" s="9">
        <f t="shared" si="29"/>
        <v>1.9857948999999999</v>
      </c>
      <c r="M179" s="9">
        <f t="shared" si="30"/>
        <v>1.9857948999999999</v>
      </c>
      <c r="N179" s="9" t="str">
        <f t="shared" si="31"/>
        <v/>
      </c>
      <c r="O179" s="4" t="s">
        <v>755</v>
      </c>
      <c r="P179" s="1" t="s">
        <v>760</v>
      </c>
      <c r="Q179" s="7" t="s">
        <v>990</v>
      </c>
      <c r="R179" s="7" t="s">
        <v>991</v>
      </c>
      <c r="S179" s="8" t="s">
        <v>992</v>
      </c>
      <c r="T179" s="7"/>
      <c r="U179" t="str">
        <f t="shared" si="32"/>
        <v/>
      </c>
      <c r="V179" t="str">
        <f t="shared" si="33"/>
        <v/>
      </c>
      <c r="W179" t="str">
        <f t="shared" si="34"/>
        <v/>
      </c>
      <c r="X179" t="str">
        <f t="shared" si="35"/>
        <v/>
      </c>
      <c r="Y179" t="e">
        <f>VLOOKUP($A179,Runs!$G:$G,1,FALSE)</f>
        <v>#N/A</v>
      </c>
    </row>
    <row r="180" spans="1:25" ht="22.5" customHeight="1" x14ac:dyDescent="0.25">
      <c r="A180" s="2" t="s">
        <v>154</v>
      </c>
      <c r="B180" s="2" t="s">
        <v>155</v>
      </c>
      <c r="C180" s="3">
        <v>1.4E-2</v>
      </c>
      <c r="D180" s="6" t="s">
        <v>105</v>
      </c>
      <c r="E180">
        <f>(30-C180*100)*VLOOKUP($D180,Calc!$A$1:$C$6,3,FALSE)</f>
        <v>28.6</v>
      </c>
      <c r="F180" s="6">
        <f>VLOOKUP(D180,Calc!$A$1:$B$6,2,FALSE)</f>
        <v>2</v>
      </c>
      <c r="G180" s="10">
        <f t="shared" si="24"/>
        <v>1.4200000000000001E-2</v>
      </c>
      <c r="H180" s="9">
        <f t="shared" si="25"/>
        <v>-1.2E-5</v>
      </c>
      <c r="I180" s="10">
        <f t="shared" si="26"/>
        <v>1.4198800000000001E-2</v>
      </c>
      <c r="J180" s="10">
        <f t="shared" si="27"/>
        <v>1.4198800000000001E-2</v>
      </c>
      <c r="K180" s="10" t="str">
        <f t="shared" si="28"/>
        <v/>
      </c>
      <c r="L180" s="9">
        <f t="shared" si="29"/>
        <v>1.9858012</v>
      </c>
      <c r="M180" s="9">
        <f t="shared" si="30"/>
        <v>1.9858012</v>
      </c>
      <c r="N180" s="9" t="str">
        <f t="shared" si="31"/>
        <v/>
      </c>
      <c r="O180" s="4" t="s">
        <v>755</v>
      </c>
      <c r="P180" s="1" t="s">
        <v>1899</v>
      </c>
      <c r="Q180" s="7" t="s">
        <v>881</v>
      </c>
      <c r="R180" s="7" t="s">
        <v>954</v>
      </c>
      <c r="S180" s="8" t="s">
        <v>955</v>
      </c>
      <c r="T180" s="7"/>
      <c r="U180" t="str">
        <f t="shared" si="32"/>
        <v/>
      </c>
      <c r="V180" t="str">
        <f t="shared" si="33"/>
        <v/>
      </c>
      <c r="W180" t="str">
        <f t="shared" si="34"/>
        <v/>
      </c>
      <c r="X180" t="str">
        <f t="shared" si="35"/>
        <v/>
      </c>
      <c r="Y180" t="e">
        <f>VLOOKUP($A180,Runs!$G:$G,1,FALSE)</f>
        <v>#N/A</v>
      </c>
    </row>
    <row r="181" spans="1:25" ht="22.5" customHeight="1" x14ac:dyDescent="0.25">
      <c r="A181" s="2" t="s">
        <v>556</v>
      </c>
      <c r="B181" s="2" t="s">
        <v>726</v>
      </c>
      <c r="C181" s="3">
        <v>1.4E-2</v>
      </c>
      <c r="D181" s="6" t="s">
        <v>434</v>
      </c>
      <c r="E181">
        <f>(30-C181*100)*VLOOKUP($D181,Calc!$A$1:$C$6,3,FALSE)</f>
        <v>143</v>
      </c>
      <c r="F181" s="6">
        <f>VLOOKUP(D181,Calc!$A$1:$B$6,2,FALSE)</f>
        <v>4</v>
      </c>
      <c r="G181" s="10">
        <f t="shared" si="24"/>
        <v>1.44E-2</v>
      </c>
      <c r="H181" s="9">
        <f t="shared" si="25"/>
        <v>3.1999999999999999E-5</v>
      </c>
      <c r="I181" s="10">
        <f t="shared" si="26"/>
        <v>1.44032E-2</v>
      </c>
      <c r="J181" s="10">
        <f t="shared" si="27"/>
        <v>1.44032E-2</v>
      </c>
      <c r="K181" s="10" t="str">
        <f t="shared" si="28"/>
        <v/>
      </c>
      <c r="L181" s="9">
        <f t="shared" si="29"/>
        <v>3.9855968000000002</v>
      </c>
      <c r="M181" s="9">
        <f t="shared" si="30"/>
        <v>3.9855968000000002</v>
      </c>
      <c r="N181" s="9" t="str">
        <f t="shared" si="31"/>
        <v/>
      </c>
      <c r="O181" s="4" t="s">
        <v>755</v>
      </c>
      <c r="P181" s="1" t="s">
        <v>1663</v>
      </c>
      <c r="Q181" s="7" t="s">
        <v>1554</v>
      </c>
      <c r="R181" s="7" t="s">
        <v>1555</v>
      </c>
      <c r="S181" s="8" t="s">
        <v>1556</v>
      </c>
      <c r="T181" s="7"/>
      <c r="U181" t="str">
        <f t="shared" si="32"/>
        <v/>
      </c>
      <c r="V181" t="str">
        <f t="shared" si="33"/>
        <v/>
      </c>
      <c r="W181" t="str">
        <f t="shared" si="34"/>
        <v/>
      </c>
      <c r="X181" t="str">
        <f t="shared" si="35"/>
        <v/>
      </c>
      <c r="Y181" t="e">
        <f>VLOOKUP($A181,Runs!$G:$G,1,FALSE)</f>
        <v>#N/A</v>
      </c>
    </row>
    <row r="182" spans="1:25" ht="22.5" customHeight="1" x14ac:dyDescent="0.25">
      <c r="A182" s="2" t="s">
        <v>419</v>
      </c>
      <c r="B182" s="2" t="s">
        <v>738</v>
      </c>
      <c r="C182" s="3">
        <v>1.4E-2</v>
      </c>
      <c r="D182" s="6" t="s">
        <v>242</v>
      </c>
      <c r="E182">
        <f>(30-C182*100)*VLOOKUP($D182,Calc!$A$1:$C$6,3,FALSE)</f>
        <v>71.5</v>
      </c>
      <c r="F182" s="6">
        <f>VLOOKUP(D182,Calc!$A$1:$B$6,2,FALSE)</f>
        <v>3</v>
      </c>
      <c r="G182" s="10">
        <f t="shared" si="24"/>
        <v>1.43E-2</v>
      </c>
      <c r="H182" s="9">
        <f t="shared" si="25"/>
        <v>2.8E-5</v>
      </c>
      <c r="I182" s="10">
        <f t="shared" si="26"/>
        <v>1.4302800000000001E-2</v>
      </c>
      <c r="J182" s="10">
        <f t="shared" si="27"/>
        <v>1.4302800000000001E-2</v>
      </c>
      <c r="K182" s="10" t="str">
        <f t="shared" si="28"/>
        <v/>
      </c>
      <c r="L182" s="9">
        <f t="shared" si="29"/>
        <v>2.9856972000000002</v>
      </c>
      <c r="M182" s="9">
        <f t="shared" si="30"/>
        <v>2.9856972000000002</v>
      </c>
      <c r="N182" s="9" t="str">
        <f t="shared" si="31"/>
        <v/>
      </c>
      <c r="O182" s="4" t="s">
        <v>755</v>
      </c>
      <c r="P182" s="1" t="s">
        <v>1700</v>
      </c>
      <c r="Q182" s="7" t="s">
        <v>1441</v>
      </c>
      <c r="R182" s="7" t="s">
        <v>1442</v>
      </c>
      <c r="S182" s="7" t="s">
        <v>1443</v>
      </c>
      <c r="T182" s="7" t="s">
        <v>770</v>
      </c>
      <c r="U182" t="str">
        <f t="shared" si="32"/>
        <v/>
      </c>
      <c r="V182" t="str">
        <f t="shared" si="33"/>
        <v/>
      </c>
      <c r="W182" t="str">
        <f t="shared" si="34"/>
        <v/>
      </c>
      <c r="X182" t="str">
        <f t="shared" si="35"/>
        <v/>
      </c>
      <c r="Y182" t="e">
        <f>VLOOKUP($A182,Runs!$G:$G,1,FALSE)</f>
        <v>#N/A</v>
      </c>
    </row>
    <row r="183" spans="1:25" ht="22.5" customHeight="1" x14ac:dyDescent="0.25">
      <c r="A183" s="2" t="s">
        <v>350</v>
      </c>
      <c r="B183" s="2" t="s">
        <v>351</v>
      </c>
      <c r="C183" s="3">
        <v>1.4E-2</v>
      </c>
      <c r="D183" s="6" t="s">
        <v>242</v>
      </c>
      <c r="E183">
        <f>(30-C183*100)*VLOOKUP($D183,Calc!$A$1:$C$6,3,FALSE)</f>
        <v>71.5</v>
      </c>
      <c r="F183" s="6">
        <f>VLOOKUP(D183,Calc!$A$1:$B$6,2,FALSE)</f>
        <v>3</v>
      </c>
      <c r="G183" s="10">
        <f t="shared" si="24"/>
        <v>1.43E-2</v>
      </c>
      <c r="H183" s="9">
        <f t="shared" si="25"/>
        <v>3.1000000000000001E-5</v>
      </c>
      <c r="I183" s="10">
        <f t="shared" si="26"/>
        <v>1.4303100000000001E-2</v>
      </c>
      <c r="J183" s="10">
        <f t="shared" si="27"/>
        <v>1.4303100000000001E-2</v>
      </c>
      <c r="K183" s="10" t="str">
        <f t="shared" si="28"/>
        <v/>
      </c>
      <c r="L183" s="9">
        <f t="shared" si="29"/>
        <v>2.9856969000000002</v>
      </c>
      <c r="M183" s="9">
        <f t="shared" si="30"/>
        <v>2.9856969000000002</v>
      </c>
      <c r="N183" s="9" t="str">
        <f t="shared" si="31"/>
        <v/>
      </c>
      <c r="O183" s="4" t="s">
        <v>755</v>
      </c>
      <c r="P183" s="1" t="s">
        <v>1665</v>
      </c>
      <c r="Q183" s="7" t="s">
        <v>1212</v>
      </c>
      <c r="R183" s="8" t="s">
        <v>1213</v>
      </c>
      <c r="S183" s="7"/>
      <c r="T183" s="7"/>
      <c r="U183" t="str">
        <f t="shared" si="32"/>
        <v/>
      </c>
      <c r="V183" t="str">
        <f t="shared" si="33"/>
        <v/>
      </c>
      <c r="W183" t="str">
        <f t="shared" si="34"/>
        <v/>
      </c>
      <c r="X183" t="str">
        <f t="shared" si="35"/>
        <v/>
      </c>
      <c r="Y183" t="e">
        <f>VLOOKUP($A183,Runs!$G:$G,1,FALSE)</f>
        <v>#N/A</v>
      </c>
    </row>
    <row r="184" spans="1:25" ht="22.5" customHeight="1" x14ac:dyDescent="0.25">
      <c r="A184" s="2" t="s">
        <v>336</v>
      </c>
      <c r="B184" s="2" t="s">
        <v>715</v>
      </c>
      <c r="C184" s="3">
        <v>1.4E-2</v>
      </c>
      <c r="D184" s="6" t="s">
        <v>242</v>
      </c>
      <c r="E184">
        <f>(30-C184*100)*VLOOKUP($D184,Calc!$A$1:$C$6,3,FALSE)</f>
        <v>71.5</v>
      </c>
      <c r="F184" s="6">
        <f>VLOOKUP(D184,Calc!$A$1:$B$6,2,FALSE)</f>
        <v>3</v>
      </c>
      <c r="G184" s="10">
        <f t="shared" si="24"/>
        <v>1.43E-2</v>
      </c>
      <c r="H184" s="9">
        <f t="shared" si="25"/>
        <v>2.4000000000000001E-5</v>
      </c>
      <c r="I184" s="10">
        <f t="shared" si="26"/>
        <v>1.43024E-2</v>
      </c>
      <c r="J184" s="10" t="str">
        <f t="shared" si="27"/>
        <v/>
      </c>
      <c r="K184" s="10">
        <f t="shared" si="28"/>
        <v>1.43024E-2</v>
      </c>
      <c r="L184" s="9">
        <f t="shared" si="29"/>
        <v>2.9856976</v>
      </c>
      <c r="M184" s="9" t="str">
        <f t="shared" si="30"/>
        <v/>
      </c>
      <c r="N184" s="9">
        <f t="shared" si="31"/>
        <v>2.9856976</v>
      </c>
      <c r="O184" s="4"/>
      <c r="Q184" s="7" t="s">
        <v>1193</v>
      </c>
      <c r="R184" s="8" t="s">
        <v>1194</v>
      </c>
      <c r="S184" s="7"/>
      <c r="T184" s="7"/>
      <c r="U184" t="str">
        <f t="shared" si="32"/>
        <v/>
      </c>
      <c r="V184">
        <f t="shared" si="33"/>
        <v>1.43024E-2</v>
      </c>
      <c r="W184" t="str">
        <f t="shared" si="34"/>
        <v/>
      </c>
      <c r="X184" t="str">
        <f t="shared" si="35"/>
        <v/>
      </c>
      <c r="Y184" t="str">
        <f>VLOOKUP($A184,Runs!$G:$G,1,FALSE)</f>
        <v>Sons of Carthage</v>
      </c>
    </row>
    <row r="185" spans="1:25" ht="22.5" customHeight="1" x14ac:dyDescent="0.25">
      <c r="A185" s="2" t="s">
        <v>243</v>
      </c>
      <c r="B185" s="2" t="s">
        <v>244</v>
      </c>
      <c r="C185" s="3">
        <v>1.4E-2</v>
      </c>
      <c r="D185" s="6" t="s">
        <v>242</v>
      </c>
      <c r="E185">
        <f>(30-C185*100)*VLOOKUP($D185,Calc!$A$1:$C$6,3,FALSE)</f>
        <v>71.5</v>
      </c>
      <c r="F185" s="6">
        <f>VLOOKUP(D185,Calc!$A$1:$B$6,2,FALSE)</f>
        <v>3</v>
      </c>
      <c r="G185" s="10">
        <f t="shared" si="24"/>
        <v>1.43E-2</v>
      </c>
      <c r="H185" s="9">
        <f t="shared" si="25"/>
        <v>2.4000000000000001E-5</v>
      </c>
      <c r="I185" s="10">
        <f t="shared" si="26"/>
        <v>1.43024E-2</v>
      </c>
      <c r="J185" s="10">
        <f t="shared" si="27"/>
        <v>1.43024E-2</v>
      </c>
      <c r="K185" s="10" t="str">
        <f t="shared" si="28"/>
        <v/>
      </c>
      <c r="L185" s="9">
        <f t="shared" si="29"/>
        <v>2.9856976</v>
      </c>
      <c r="M185" s="9">
        <f t="shared" si="30"/>
        <v>2.9856976</v>
      </c>
      <c r="N185" s="9" t="str">
        <f t="shared" si="31"/>
        <v/>
      </c>
      <c r="O185" s="4" t="s">
        <v>755</v>
      </c>
      <c r="P185" s="1" t="s">
        <v>1781</v>
      </c>
      <c r="Q185" s="7" t="s">
        <v>873</v>
      </c>
      <c r="R185" s="7" t="s">
        <v>874</v>
      </c>
      <c r="S185" s="8" t="s">
        <v>875</v>
      </c>
      <c r="T185" s="7"/>
      <c r="U185" t="str">
        <f t="shared" si="32"/>
        <v/>
      </c>
      <c r="V185" t="str">
        <f t="shared" si="33"/>
        <v/>
      </c>
      <c r="W185" t="str">
        <f t="shared" si="34"/>
        <v/>
      </c>
      <c r="X185" t="str">
        <f t="shared" si="35"/>
        <v/>
      </c>
      <c r="Y185" t="str">
        <f>VLOOKUP($A185,Runs!$G:$G,1,FALSE)</f>
        <v>Abu Bakr II’s Ambition</v>
      </c>
    </row>
    <row r="186" spans="1:25" ht="22.5" customHeight="1" x14ac:dyDescent="0.25">
      <c r="A186" s="2" t="s">
        <v>214</v>
      </c>
      <c r="B186" s="2" t="s">
        <v>652</v>
      </c>
      <c r="C186" s="3">
        <v>1.4999999999999999E-2</v>
      </c>
      <c r="D186" s="6" t="s">
        <v>105</v>
      </c>
      <c r="E186">
        <f>(30-C186*100)*VLOOKUP($D186,Calc!$A$1:$C$6,3,FALSE)</f>
        <v>28.5</v>
      </c>
      <c r="F186" s="6">
        <f>VLOOKUP(D186,Calc!$A$1:$B$6,2,FALSE)</f>
        <v>2</v>
      </c>
      <c r="G186" s="10">
        <f t="shared" si="24"/>
        <v>1.52E-2</v>
      </c>
      <c r="H186" s="9">
        <f t="shared" si="25"/>
        <v>7.2999999999999999E-5</v>
      </c>
      <c r="I186" s="10">
        <f t="shared" si="26"/>
        <v>1.52073E-2</v>
      </c>
      <c r="J186" s="10">
        <f t="shared" si="27"/>
        <v>1.52073E-2</v>
      </c>
      <c r="K186" s="10" t="str">
        <f t="shared" si="28"/>
        <v/>
      </c>
      <c r="L186" s="9">
        <f t="shared" si="29"/>
        <v>1.9847927000000001</v>
      </c>
      <c r="M186" s="9">
        <f t="shared" si="30"/>
        <v>1.9847927000000001</v>
      </c>
      <c r="N186" s="9" t="str">
        <f t="shared" si="31"/>
        <v/>
      </c>
      <c r="O186" s="4" t="s">
        <v>755</v>
      </c>
      <c r="P186" s="1" t="s">
        <v>1698</v>
      </c>
      <c r="Q186" s="7" t="s">
        <v>1077</v>
      </c>
      <c r="R186" s="7" t="s">
        <v>1078</v>
      </c>
      <c r="S186" s="8" t="s">
        <v>1079</v>
      </c>
      <c r="T186" s="7"/>
      <c r="U186" t="str">
        <f t="shared" si="32"/>
        <v/>
      </c>
      <c r="V186" t="str">
        <f t="shared" si="33"/>
        <v/>
      </c>
      <c r="W186" t="str">
        <f t="shared" si="34"/>
        <v/>
      </c>
      <c r="X186" t="str">
        <f t="shared" si="35"/>
        <v/>
      </c>
      <c r="Y186" t="e">
        <f>VLOOKUP($A186,Runs!$G:$G,1,FALSE)</f>
        <v>#N/A</v>
      </c>
    </row>
    <row r="187" spans="1:25" ht="22.5" customHeight="1" x14ac:dyDescent="0.25">
      <c r="A187" s="2" t="s">
        <v>368</v>
      </c>
      <c r="B187" s="2" t="s">
        <v>369</v>
      </c>
      <c r="C187" s="3">
        <v>1.4999999999999999E-2</v>
      </c>
      <c r="D187" s="6" t="s">
        <v>242</v>
      </c>
      <c r="E187">
        <f>(30-C187*100)*VLOOKUP($D187,Calc!$A$1:$C$6,3,FALSE)</f>
        <v>71.25</v>
      </c>
      <c r="F187" s="6">
        <f>VLOOKUP(D187,Calc!$A$1:$B$6,2,FALSE)</f>
        <v>3</v>
      </c>
      <c r="G187" s="10">
        <f t="shared" si="24"/>
        <v>1.5299999999999999E-2</v>
      </c>
      <c r="H187" s="9">
        <f t="shared" si="25"/>
        <v>5.3999999999999998E-5</v>
      </c>
      <c r="I187" s="10">
        <f t="shared" si="26"/>
        <v>1.5305399999999999E-2</v>
      </c>
      <c r="J187" s="10" t="str">
        <f t="shared" si="27"/>
        <v/>
      </c>
      <c r="K187" s="10">
        <f t="shared" si="28"/>
        <v>1.5305399999999999E-2</v>
      </c>
      <c r="L187" s="9">
        <f t="shared" si="29"/>
        <v>2.9846946000000001</v>
      </c>
      <c r="M187" s="9" t="str">
        <f t="shared" si="30"/>
        <v/>
      </c>
      <c r="N187" s="9">
        <f t="shared" si="31"/>
        <v>2.9846946000000001</v>
      </c>
      <c r="O187" s="4"/>
      <c r="Q187" s="7" t="s">
        <v>1242</v>
      </c>
      <c r="R187" s="7" t="s">
        <v>1243</v>
      </c>
      <c r="S187" s="8" t="s">
        <v>1244</v>
      </c>
      <c r="T187" s="7"/>
      <c r="U187" t="str">
        <f t="shared" si="32"/>
        <v/>
      </c>
      <c r="V187">
        <f t="shared" si="33"/>
        <v>1.5305399999999999E-2</v>
      </c>
      <c r="W187" t="str">
        <f t="shared" si="34"/>
        <v/>
      </c>
      <c r="X187" t="str">
        <f t="shared" si="35"/>
        <v/>
      </c>
      <c r="Y187" t="str">
        <f>VLOOKUP($A187,Runs!$G:$G,1,FALSE)</f>
        <v>The Uncommonwealth</v>
      </c>
    </row>
    <row r="188" spans="1:25" ht="22.5" customHeight="1" x14ac:dyDescent="0.25">
      <c r="A188" s="2" t="s">
        <v>361</v>
      </c>
      <c r="B188" s="2" t="s">
        <v>729</v>
      </c>
      <c r="C188" s="3">
        <v>1.4999999999999999E-2</v>
      </c>
      <c r="D188" s="6" t="s">
        <v>242</v>
      </c>
      <c r="E188">
        <f>(30-C188*100)*VLOOKUP($D188,Calc!$A$1:$C$6,3,FALSE)</f>
        <v>71.25</v>
      </c>
      <c r="F188" s="6">
        <f>VLOOKUP(D188,Calc!$A$1:$B$6,2,FALSE)</f>
        <v>3</v>
      </c>
      <c r="G188" s="10">
        <f t="shared" si="24"/>
        <v>1.5299999999999999E-2</v>
      </c>
      <c r="H188" s="9">
        <f t="shared" si="25"/>
        <v>6.0000000000000002E-5</v>
      </c>
      <c r="I188" s="10">
        <f t="shared" si="26"/>
        <v>1.5306E-2</v>
      </c>
      <c r="J188" s="10">
        <f t="shared" si="27"/>
        <v>1.5306E-2</v>
      </c>
      <c r="K188" s="10" t="str">
        <f t="shared" si="28"/>
        <v/>
      </c>
      <c r="L188" s="9">
        <f t="shared" si="29"/>
        <v>2.9846940000000002</v>
      </c>
      <c r="M188" s="9">
        <f t="shared" si="30"/>
        <v>2.9846940000000002</v>
      </c>
      <c r="N188" s="9" t="str">
        <f t="shared" si="31"/>
        <v/>
      </c>
      <c r="O188" s="4" t="s">
        <v>755</v>
      </c>
      <c r="P188" s="1" t="s">
        <v>1675</v>
      </c>
      <c r="Q188" s="7" t="s">
        <v>1228</v>
      </c>
      <c r="R188" s="7" t="s">
        <v>1229</v>
      </c>
      <c r="S188" s="8" t="s">
        <v>1230</v>
      </c>
      <c r="T188" s="7"/>
      <c r="U188" t="str">
        <f t="shared" si="32"/>
        <v/>
      </c>
      <c r="V188" t="str">
        <f t="shared" si="33"/>
        <v/>
      </c>
      <c r="W188" t="str">
        <f t="shared" si="34"/>
        <v/>
      </c>
      <c r="X188" t="str">
        <f t="shared" si="35"/>
        <v/>
      </c>
      <c r="Y188" t="e">
        <f>VLOOKUP($A188,Runs!$G:$G,1,FALSE)</f>
        <v>#N/A</v>
      </c>
    </row>
    <row r="189" spans="1:25" ht="22.5" customHeight="1" x14ac:dyDescent="0.25">
      <c r="A189" s="2" t="s">
        <v>357</v>
      </c>
      <c r="B189" s="2" t="s">
        <v>358</v>
      </c>
      <c r="C189" s="3">
        <v>1.4999999999999999E-2</v>
      </c>
      <c r="D189" s="6" t="s">
        <v>242</v>
      </c>
      <c r="E189">
        <f>(30-C189*100)*VLOOKUP($D189,Calc!$A$1:$C$6,3,FALSE)</f>
        <v>71.25</v>
      </c>
      <c r="F189" s="6">
        <f>VLOOKUP(D189,Calc!$A$1:$B$6,2,FALSE)</f>
        <v>3</v>
      </c>
      <c r="G189" s="10">
        <f t="shared" si="24"/>
        <v>1.5299999999999999E-2</v>
      </c>
      <c r="H189" s="9">
        <f t="shared" si="25"/>
        <v>4.1E-5</v>
      </c>
      <c r="I189" s="10">
        <f t="shared" si="26"/>
        <v>1.5304099999999999E-2</v>
      </c>
      <c r="J189" s="10">
        <f t="shared" si="27"/>
        <v>1.5304099999999999E-2</v>
      </c>
      <c r="K189" s="10" t="str">
        <f t="shared" si="28"/>
        <v/>
      </c>
      <c r="L189" s="9">
        <f t="shared" si="29"/>
        <v>2.9846959000000002</v>
      </c>
      <c r="M189" s="9">
        <f t="shared" si="30"/>
        <v>2.9846959000000002</v>
      </c>
      <c r="N189" s="9" t="str">
        <f t="shared" si="31"/>
        <v/>
      </c>
      <c r="O189" s="4" t="s">
        <v>755</v>
      </c>
      <c r="P189" s="1" t="s">
        <v>1782</v>
      </c>
      <c r="Q189" s="7" t="s">
        <v>1222</v>
      </c>
      <c r="R189" s="7" t="s">
        <v>1223</v>
      </c>
      <c r="S189" s="8" t="s">
        <v>1224</v>
      </c>
      <c r="T189" s="7"/>
      <c r="U189" t="str">
        <f t="shared" si="32"/>
        <v/>
      </c>
      <c r="V189" t="str">
        <f t="shared" si="33"/>
        <v/>
      </c>
      <c r="W189" t="str">
        <f t="shared" si="34"/>
        <v/>
      </c>
      <c r="X189" t="str">
        <f t="shared" si="35"/>
        <v/>
      </c>
      <c r="Y189" t="str">
        <f>VLOOKUP($A189,Runs!$G:$G,1,FALSE)</f>
        <v>The Levant Turnabout</v>
      </c>
    </row>
    <row r="190" spans="1:25" ht="22.5" customHeight="1" x14ac:dyDescent="0.25">
      <c r="A190" s="2" t="s">
        <v>352</v>
      </c>
      <c r="B190" s="2" t="s">
        <v>723</v>
      </c>
      <c r="C190" s="3">
        <v>1.4999999999999999E-2</v>
      </c>
      <c r="D190" s="6" t="s">
        <v>242</v>
      </c>
      <c r="E190">
        <f>(30-C190*100)*VLOOKUP($D190,Calc!$A$1:$C$6,3,FALSE)</f>
        <v>71.25</v>
      </c>
      <c r="F190" s="6">
        <f>VLOOKUP(D190,Calc!$A$1:$B$6,2,FALSE)</f>
        <v>3</v>
      </c>
      <c r="G190" s="10">
        <f t="shared" si="24"/>
        <v>1.5299999999999999E-2</v>
      </c>
      <c r="H190" s="9">
        <f t="shared" si="25"/>
        <v>4.8999999999999998E-5</v>
      </c>
      <c r="I190" s="10">
        <f t="shared" si="26"/>
        <v>1.53049E-2</v>
      </c>
      <c r="J190" s="10">
        <f t="shared" si="27"/>
        <v>1.53049E-2</v>
      </c>
      <c r="K190" s="10" t="str">
        <f t="shared" si="28"/>
        <v/>
      </c>
      <c r="L190" s="9">
        <f t="shared" si="29"/>
        <v>2.9846951000000002</v>
      </c>
      <c r="M190" s="9">
        <f t="shared" si="30"/>
        <v>2.9846951000000002</v>
      </c>
      <c r="N190" s="9" t="str">
        <f t="shared" si="31"/>
        <v/>
      </c>
      <c r="O190" s="4" t="s">
        <v>755</v>
      </c>
      <c r="P190" s="1" t="s">
        <v>1712</v>
      </c>
      <c r="Q190" s="7" t="s">
        <v>1214</v>
      </c>
      <c r="R190" s="8" t="s">
        <v>1215</v>
      </c>
      <c r="S190" s="7"/>
      <c r="T190" s="7"/>
      <c r="U190" t="str">
        <f t="shared" si="32"/>
        <v/>
      </c>
      <c r="V190" t="str">
        <f t="shared" si="33"/>
        <v/>
      </c>
      <c r="W190" t="str">
        <f t="shared" si="34"/>
        <v/>
      </c>
      <c r="X190" t="str">
        <f t="shared" si="35"/>
        <v/>
      </c>
      <c r="Y190" t="e">
        <f>VLOOKUP($A190,Runs!$G:$G,1,FALSE)</f>
        <v>#N/A</v>
      </c>
    </row>
    <row r="191" spans="1:25" ht="22.5" customHeight="1" x14ac:dyDescent="0.25">
      <c r="A191" s="2" t="s">
        <v>254</v>
      </c>
      <c r="B191" s="2" t="s">
        <v>255</v>
      </c>
      <c r="C191" s="3">
        <v>1.4999999999999999E-2</v>
      </c>
      <c r="D191" s="6" t="s">
        <v>242</v>
      </c>
      <c r="E191">
        <f>(30-C191*100)*VLOOKUP($D191,Calc!$A$1:$C$6,3,FALSE)</f>
        <v>71.25</v>
      </c>
      <c r="F191" s="6">
        <f>VLOOKUP(D191,Calc!$A$1:$B$6,2,FALSE)</f>
        <v>3</v>
      </c>
      <c r="G191" s="10">
        <f t="shared" si="24"/>
        <v>1.5299999999999999E-2</v>
      </c>
      <c r="H191" s="9">
        <f t="shared" si="25"/>
        <v>6.3E-5</v>
      </c>
      <c r="I191" s="10">
        <f t="shared" si="26"/>
        <v>1.53063E-2</v>
      </c>
      <c r="J191" s="10" t="str">
        <f t="shared" si="27"/>
        <v/>
      </c>
      <c r="K191" s="10">
        <f t="shared" si="28"/>
        <v>1.53063E-2</v>
      </c>
      <c r="L191" s="9">
        <f t="shared" si="29"/>
        <v>2.9846936999999998</v>
      </c>
      <c r="M191" s="9" t="str">
        <f t="shared" si="30"/>
        <v/>
      </c>
      <c r="N191" s="9">
        <f t="shared" si="31"/>
        <v>2.9846936999999998</v>
      </c>
      <c r="O191" s="4"/>
      <c r="Q191" s="7"/>
      <c r="R191" s="7" t="s">
        <v>1014</v>
      </c>
      <c r="S191" s="8" t="s">
        <v>1015</v>
      </c>
      <c r="T191" s="7"/>
      <c r="U191" t="str">
        <f t="shared" si="32"/>
        <v/>
      </c>
      <c r="V191">
        <f t="shared" si="33"/>
        <v>1.53063E-2</v>
      </c>
      <c r="W191" t="str">
        <f t="shared" si="34"/>
        <v/>
      </c>
      <c r="X191" t="str">
        <f t="shared" si="35"/>
        <v/>
      </c>
      <c r="Y191" t="str">
        <f>VLOOKUP($A191,Runs!$G:$G,1,FALSE)</f>
        <v>Sweet Home Qaraqorum</v>
      </c>
    </row>
    <row r="192" spans="1:25" ht="22.5" customHeight="1" x14ac:dyDescent="0.25">
      <c r="A192" s="2" t="s">
        <v>405</v>
      </c>
      <c r="B192" s="2" t="s">
        <v>406</v>
      </c>
      <c r="C192" s="3">
        <v>1.4999999999999999E-2</v>
      </c>
      <c r="D192" s="6" t="s">
        <v>242</v>
      </c>
      <c r="E192">
        <f>(30-C192*100)*VLOOKUP($D192,Calc!$A$1:$C$6,3,FALSE)</f>
        <v>71.25</v>
      </c>
      <c r="F192" s="6">
        <f>VLOOKUP(D192,Calc!$A$1:$B$6,2,FALSE)</f>
        <v>3</v>
      </c>
      <c r="G192" s="10">
        <f t="shared" si="24"/>
        <v>1.5299999999999999E-2</v>
      </c>
      <c r="H192" s="9">
        <f t="shared" si="25"/>
        <v>4.6999999999999997E-5</v>
      </c>
      <c r="I192" s="10">
        <f t="shared" si="26"/>
        <v>1.5304699999999999E-2</v>
      </c>
      <c r="J192" s="10">
        <f t="shared" si="27"/>
        <v>1.5304699999999999E-2</v>
      </c>
      <c r="K192" s="10" t="str">
        <f t="shared" si="28"/>
        <v/>
      </c>
      <c r="L192" s="9">
        <f t="shared" si="29"/>
        <v>2.9846952999999998</v>
      </c>
      <c r="M192" s="9">
        <f t="shared" si="30"/>
        <v>2.9846952999999998</v>
      </c>
      <c r="N192" s="9" t="str">
        <f t="shared" si="31"/>
        <v/>
      </c>
      <c r="O192" s="4" t="s">
        <v>755</v>
      </c>
      <c r="P192" s="1" t="s">
        <v>759</v>
      </c>
      <c r="Q192" s="7" t="s">
        <v>1022</v>
      </c>
      <c r="R192" s="7" t="s">
        <v>1378</v>
      </c>
      <c r="S192" s="8" t="s">
        <v>1379</v>
      </c>
      <c r="T192" s="7"/>
      <c r="U192" t="str">
        <f t="shared" si="32"/>
        <v/>
      </c>
      <c r="V192" t="str">
        <f t="shared" si="33"/>
        <v/>
      </c>
      <c r="W192" t="str">
        <f t="shared" si="34"/>
        <v/>
      </c>
      <c r="X192" t="str">
        <f t="shared" si="35"/>
        <v/>
      </c>
      <c r="Y192" t="e">
        <f>VLOOKUP($A192,Runs!$G:$G,1,FALSE)</f>
        <v>#N/A</v>
      </c>
    </row>
    <row r="193" spans="1:25" ht="22.5" customHeight="1" x14ac:dyDescent="0.25">
      <c r="A193" s="2" t="s">
        <v>299</v>
      </c>
      <c r="B193" s="2" t="s">
        <v>681</v>
      </c>
      <c r="C193" s="3">
        <v>1.4999999999999999E-2</v>
      </c>
      <c r="D193" s="6" t="s">
        <v>242</v>
      </c>
      <c r="E193">
        <f>(30-C193*100)*VLOOKUP($D193,Calc!$A$1:$C$6,3,FALSE)</f>
        <v>71.25</v>
      </c>
      <c r="F193" s="6">
        <f>VLOOKUP(D193,Calc!$A$1:$B$6,2,FALSE)</f>
        <v>3</v>
      </c>
      <c r="G193" s="10">
        <f t="shared" si="24"/>
        <v>1.5299999999999999E-2</v>
      </c>
      <c r="H193" s="9">
        <f t="shared" si="25"/>
        <v>3.4E-5</v>
      </c>
      <c r="I193" s="10">
        <f t="shared" si="26"/>
        <v>1.53034E-2</v>
      </c>
      <c r="J193" s="10">
        <f t="shared" si="27"/>
        <v>1.53034E-2</v>
      </c>
      <c r="K193" s="10" t="str">
        <f t="shared" si="28"/>
        <v/>
      </c>
      <c r="L193" s="9">
        <f t="shared" si="29"/>
        <v>2.9846965999999999</v>
      </c>
      <c r="M193" s="9">
        <f t="shared" si="30"/>
        <v>2.9846965999999999</v>
      </c>
      <c r="N193" s="9" t="str">
        <f t="shared" si="31"/>
        <v/>
      </c>
      <c r="O193" s="4" t="s">
        <v>755</v>
      </c>
      <c r="P193" s="1" t="s">
        <v>2026</v>
      </c>
      <c r="Q193" s="7" t="s">
        <v>1125</v>
      </c>
      <c r="R193" s="7" t="s">
        <v>1126</v>
      </c>
      <c r="S193" s="7" t="s">
        <v>1127</v>
      </c>
      <c r="T193" s="7" t="s">
        <v>775</v>
      </c>
      <c r="U193" t="str">
        <f t="shared" si="32"/>
        <v/>
      </c>
      <c r="V193" t="str">
        <f t="shared" si="33"/>
        <v/>
      </c>
      <c r="W193" t="str">
        <f t="shared" si="34"/>
        <v/>
      </c>
      <c r="X193" t="str">
        <f t="shared" si="35"/>
        <v/>
      </c>
      <c r="Y193" t="str">
        <f>VLOOKUP($A193,Runs!$G:$G,1,FALSE)</f>
        <v>Ideas Guy</v>
      </c>
    </row>
    <row r="194" spans="1:25" ht="22.5" customHeight="1" x14ac:dyDescent="0.25">
      <c r="A194" s="2" t="s">
        <v>269</v>
      </c>
      <c r="B194" s="2" t="s">
        <v>270</v>
      </c>
      <c r="C194" s="3">
        <v>1.4999999999999999E-2</v>
      </c>
      <c r="D194" s="6" t="s">
        <v>242</v>
      </c>
      <c r="E194">
        <f>(30-C194*100)*VLOOKUP($D194,Calc!$A$1:$C$6,3,FALSE)</f>
        <v>71.25</v>
      </c>
      <c r="F194" s="6">
        <f>VLOOKUP(D194,Calc!$A$1:$B$6,2,FALSE)</f>
        <v>3</v>
      </c>
      <c r="G194" s="10">
        <f t="shared" ref="G194:G257" si="36">C194+F194/10000</f>
        <v>1.5299999999999999E-2</v>
      </c>
      <c r="H194" s="9">
        <f t="shared" ref="H194:H257" si="37">( (CODE(UPPER(LEFT(A194,1)))-64)+(CODE(UPPER(RIGHT(LEFT(A194,2),1)))-64)+(CODE(UPPER(RIGHT(LEFT(A194,3),1)))-64)+(CODE(UPPER(RIGHT(LEFT(A194,4),1)))-64)+(CODE(UPPER(RIGHT(LEFT(A194,5),1)))-64)+(CODE(UPPER(RIGHT(LEFT(A194,6),1)))-64)+(CODE(UPPER(RIGHT(LEFT(A194,7),1)))-64)+(CODE(UPPER(RIGHT(LEFT(A194,8),1)))-64) )/1000000</f>
        <v>2.9E-5</v>
      </c>
      <c r="I194" s="10">
        <f t="shared" ref="I194:I257" si="38">G194+H194/10</f>
        <v>1.5302899999999999E-2</v>
      </c>
      <c r="J194" s="10" t="str">
        <f t="shared" ref="J194:J257" si="39">IF($O194="","",I194)</f>
        <v/>
      </c>
      <c r="K194" s="10">
        <f t="shared" ref="K194:K257" si="40">IF($O194="",I194,"")</f>
        <v>1.5302899999999999E-2</v>
      </c>
      <c r="L194" s="9">
        <f t="shared" ref="L194:L257" si="41">F194-I194</f>
        <v>2.9846971</v>
      </c>
      <c r="M194" s="9" t="str">
        <f t="shared" ref="M194:M257" si="42">IF($O194="","",L194)</f>
        <v/>
      </c>
      <c r="N194" s="9">
        <f t="shared" ref="N194:N257" si="43">IF($O194="",L194,"")</f>
        <v>2.9846971</v>
      </c>
      <c r="O194" s="4"/>
      <c r="Q194" s="7" t="s">
        <v>1071</v>
      </c>
      <c r="R194" s="8" t="s">
        <v>1072</v>
      </c>
      <c r="S194" s="7"/>
      <c r="T194" s="7"/>
      <c r="U194" t="str">
        <f t="shared" ref="U194:U257" si="44">IF($D194="E",K194,"")</f>
        <v/>
      </c>
      <c r="V194">
        <f t="shared" ref="V194:V257" si="45">IF($D194="M",K194,"")</f>
        <v>1.5302899999999999E-2</v>
      </c>
      <c r="W194" t="str">
        <f t="shared" ref="W194:W257" si="46">IF($D194="H",K194,"")</f>
        <v/>
      </c>
      <c r="X194" t="str">
        <f t="shared" ref="X194:X257" si="47">IF($D194="VE",K194,"")</f>
        <v/>
      </c>
      <c r="Y194" t="str">
        <f>VLOOKUP($A194,Runs!$G:$G,1,FALSE)</f>
        <v>Bengal Tiger</v>
      </c>
    </row>
    <row r="195" spans="1:25" ht="22.5" customHeight="1" x14ac:dyDescent="0.25">
      <c r="A195" s="2" t="s">
        <v>260</v>
      </c>
      <c r="B195" s="2" t="s">
        <v>261</v>
      </c>
      <c r="C195" s="3">
        <v>1.4999999999999999E-2</v>
      </c>
      <c r="D195" s="6" t="s">
        <v>242</v>
      </c>
      <c r="E195">
        <f>(30-C195*100)*VLOOKUP($D195,Calc!$A$1:$C$6,3,FALSE)</f>
        <v>71.25</v>
      </c>
      <c r="F195" s="6">
        <f>VLOOKUP(D195,Calc!$A$1:$B$6,2,FALSE)</f>
        <v>3</v>
      </c>
      <c r="G195" s="10">
        <f t="shared" si="36"/>
        <v>1.5299999999999999E-2</v>
      </c>
      <c r="H195" s="9">
        <f t="shared" si="37"/>
        <v>1.1400000000000001E-4</v>
      </c>
      <c r="I195" s="10">
        <f t="shared" si="38"/>
        <v>1.5311399999999999E-2</v>
      </c>
      <c r="J195" s="10">
        <f t="shared" si="39"/>
        <v>1.5311399999999999E-2</v>
      </c>
      <c r="K195" s="10" t="str">
        <f t="shared" si="40"/>
        <v/>
      </c>
      <c r="L195" s="9">
        <f t="shared" si="41"/>
        <v>2.9846886000000001</v>
      </c>
      <c r="M195" s="9">
        <f t="shared" si="42"/>
        <v>2.9846886000000001</v>
      </c>
      <c r="N195" s="9" t="str">
        <f t="shared" si="43"/>
        <v/>
      </c>
      <c r="O195" s="4" t="s">
        <v>755</v>
      </c>
      <c r="P195" s="1" t="s">
        <v>1675</v>
      </c>
      <c r="Q195" s="7" t="s">
        <v>932</v>
      </c>
      <c r="R195" s="7" t="s">
        <v>1059</v>
      </c>
      <c r="S195" s="7" t="s">
        <v>1060</v>
      </c>
      <c r="T195" s="7" t="s">
        <v>1061</v>
      </c>
      <c r="U195" t="str">
        <f t="shared" si="44"/>
        <v/>
      </c>
      <c r="V195" t="str">
        <f t="shared" si="45"/>
        <v/>
      </c>
      <c r="W195" t="str">
        <f t="shared" si="46"/>
        <v/>
      </c>
      <c r="X195" t="str">
        <f t="shared" si="47"/>
        <v/>
      </c>
      <c r="Y195" t="e">
        <f>VLOOKUP($A195,Runs!$G:$G,1,FALSE)</f>
        <v>#N/A</v>
      </c>
    </row>
    <row r="196" spans="1:25" ht="22.5" customHeight="1" x14ac:dyDescent="0.25">
      <c r="A196" s="2" t="s">
        <v>161</v>
      </c>
      <c r="B196" s="2" t="s">
        <v>162</v>
      </c>
      <c r="C196" s="3">
        <v>1.6E-2</v>
      </c>
      <c r="D196" s="6" t="s">
        <v>105</v>
      </c>
      <c r="E196">
        <f>(30-C196*100)*VLOOKUP($D196,Calc!$A$1:$C$6,3,FALSE)</f>
        <v>28.4</v>
      </c>
      <c r="F196" s="6">
        <f>VLOOKUP(D196,Calc!$A$1:$B$6,2,FALSE)</f>
        <v>2</v>
      </c>
      <c r="G196" s="10">
        <f t="shared" si="36"/>
        <v>1.6199999999999999E-2</v>
      </c>
      <c r="H196" s="9">
        <f t="shared" si="37"/>
        <v>5.7000000000000003E-5</v>
      </c>
      <c r="I196" s="10">
        <f t="shared" si="38"/>
        <v>1.62057E-2</v>
      </c>
      <c r="J196" s="10">
        <f t="shared" si="39"/>
        <v>1.62057E-2</v>
      </c>
      <c r="K196" s="10" t="str">
        <f t="shared" si="40"/>
        <v/>
      </c>
      <c r="L196" s="9">
        <f t="shared" si="41"/>
        <v>1.9837943</v>
      </c>
      <c r="M196" s="9">
        <f t="shared" si="42"/>
        <v>1.9837943</v>
      </c>
      <c r="N196" s="9" t="str">
        <f t="shared" si="43"/>
        <v/>
      </c>
      <c r="O196" s="4" t="s">
        <v>755</v>
      </c>
      <c r="P196" s="1" t="s">
        <v>759</v>
      </c>
      <c r="Q196" s="7" t="s">
        <v>964</v>
      </c>
      <c r="R196" s="7" t="s">
        <v>965</v>
      </c>
      <c r="S196" s="8" t="s">
        <v>966</v>
      </c>
      <c r="T196" s="7"/>
      <c r="U196" t="str">
        <f t="shared" si="44"/>
        <v/>
      </c>
      <c r="V196" t="str">
        <f t="shared" si="45"/>
        <v/>
      </c>
      <c r="W196" t="str">
        <f t="shared" si="46"/>
        <v/>
      </c>
      <c r="X196" t="str">
        <f t="shared" si="47"/>
        <v/>
      </c>
      <c r="Y196" t="e">
        <f>VLOOKUP($A196,Runs!$G:$G,1,FALSE)</f>
        <v>#N/A</v>
      </c>
    </row>
    <row r="197" spans="1:25" ht="22.5" customHeight="1" x14ac:dyDescent="0.25">
      <c r="A197" s="2" t="s">
        <v>152</v>
      </c>
      <c r="B197" s="2" t="s">
        <v>153</v>
      </c>
      <c r="C197" s="3">
        <v>1.6E-2</v>
      </c>
      <c r="D197" s="6" t="s">
        <v>105</v>
      </c>
      <c r="E197">
        <f>(30-C197*100)*VLOOKUP($D197,Calc!$A$1:$C$6,3,FALSE)</f>
        <v>28.4</v>
      </c>
      <c r="F197" s="6">
        <f>VLOOKUP(D197,Calc!$A$1:$B$6,2,FALSE)</f>
        <v>2</v>
      </c>
      <c r="G197" s="10">
        <f t="shared" si="36"/>
        <v>1.6199999999999999E-2</v>
      </c>
      <c r="H197" s="9">
        <f t="shared" si="37"/>
        <v>1.11E-4</v>
      </c>
      <c r="I197" s="10">
        <f t="shared" si="38"/>
        <v>1.6211099999999999E-2</v>
      </c>
      <c r="J197" s="10">
        <f t="shared" si="39"/>
        <v>1.6211099999999999E-2</v>
      </c>
      <c r="K197" s="10" t="str">
        <f t="shared" si="40"/>
        <v/>
      </c>
      <c r="L197" s="9">
        <f t="shared" si="41"/>
        <v>1.9837889</v>
      </c>
      <c r="M197" s="9">
        <f t="shared" si="42"/>
        <v>1.9837889</v>
      </c>
      <c r="N197" s="9" t="str">
        <f t="shared" si="43"/>
        <v/>
      </c>
      <c r="O197" s="4" t="s">
        <v>755</v>
      </c>
      <c r="P197" s="1" t="s">
        <v>1731</v>
      </c>
      <c r="Q197" s="7" t="s">
        <v>951</v>
      </c>
      <c r="R197" s="7" t="s">
        <v>952</v>
      </c>
      <c r="S197" s="8" t="s">
        <v>953</v>
      </c>
      <c r="T197" s="7"/>
      <c r="U197" t="str">
        <f t="shared" si="44"/>
        <v/>
      </c>
      <c r="V197" t="str">
        <f t="shared" si="45"/>
        <v/>
      </c>
      <c r="W197" t="str">
        <f t="shared" si="46"/>
        <v/>
      </c>
      <c r="X197" t="str">
        <f t="shared" si="47"/>
        <v/>
      </c>
      <c r="Y197" t="str">
        <f>VLOOKUP($A197,Runs!$G:$G,1,FALSE)</f>
        <v>Kow-Tow</v>
      </c>
    </row>
    <row r="198" spans="1:25" ht="22.5" customHeight="1" x14ac:dyDescent="0.25">
      <c r="A198" s="2" t="s">
        <v>370</v>
      </c>
      <c r="B198" s="2" t="s">
        <v>371</v>
      </c>
      <c r="C198" s="3">
        <v>1.6E-2</v>
      </c>
      <c r="D198" s="6" t="s">
        <v>242</v>
      </c>
      <c r="E198">
        <f>(30-C198*100)*VLOOKUP($D198,Calc!$A$1:$C$6,3,FALSE)</f>
        <v>71</v>
      </c>
      <c r="F198" s="6">
        <f>VLOOKUP(D198,Calc!$A$1:$B$6,2,FALSE)</f>
        <v>3</v>
      </c>
      <c r="G198" s="10">
        <f t="shared" si="36"/>
        <v>1.6300000000000002E-2</v>
      </c>
      <c r="H198" s="9">
        <f t="shared" si="37"/>
        <v>6.0999999999999999E-5</v>
      </c>
      <c r="I198" s="10">
        <f t="shared" si="38"/>
        <v>1.63061E-2</v>
      </c>
      <c r="J198" s="10">
        <f t="shared" si="39"/>
        <v>1.63061E-2</v>
      </c>
      <c r="K198" s="10" t="str">
        <f t="shared" si="40"/>
        <v/>
      </c>
      <c r="L198" s="9">
        <f t="shared" si="41"/>
        <v>2.9836939</v>
      </c>
      <c r="M198" s="9">
        <f t="shared" si="42"/>
        <v>2.9836939</v>
      </c>
      <c r="N198" s="9" t="str">
        <f t="shared" si="43"/>
        <v/>
      </c>
      <c r="O198" s="4" t="s">
        <v>755</v>
      </c>
      <c r="P198" s="1" t="s">
        <v>763</v>
      </c>
      <c r="Q198" s="7" t="s">
        <v>1245</v>
      </c>
      <c r="R198" s="8" t="s">
        <v>1246</v>
      </c>
      <c r="S198" s="7"/>
      <c r="T198" s="7"/>
      <c r="U198" t="str">
        <f t="shared" si="44"/>
        <v/>
      </c>
      <c r="V198" t="str">
        <f t="shared" si="45"/>
        <v/>
      </c>
      <c r="W198" t="str">
        <f t="shared" si="46"/>
        <v/>
      </c>
      <c r="X198" t="str">
        <f t="shared" si="47"/>
        <v/>
      </c>
      <c r="Y198" t="e">
        <f>VLOOKUP($A198,Runs!$G:$G,1,FALSE)</f>
        <v>#N/A</v>
      </c>
    </row>
    <row r="199" spans="1:25" ht="22.5" customHeight="1" x14ac:dyDescent="0.25">
      <c r="A199" s="2" t="s">
        <v>422</v>
      </c>
      <c r="B199" s="2" t="s">
        <v>638</v>
      </c>
      <c r="C199" s="3">
        <v>1.6E-2</v>
      </c>
      <c r="D199" s="6" t="s">
        <v>242</v>
      </c>
      <c r="E199">
        <f>(30-C199*100)*VLOOKUP($D199,Calc!$A$1:$C$6,3,FALSE)</f>
        <v>71</v>
      </c>
      <c r="F199" s="6">
        <f>VLOOKUP(D199,Calc!$A$1:$B$6,2,FALSE)</f>
        <v>3</v>
      </c>
      <c r="G199" s="10">
        <f t="shared" si="36"/>
        <v>1.6300000000000002E-2</v>
      </c>
      <c r="H199" s="9">
        <f t="shared" si="37"/>
        <v>1.2999999999999999E-5</v>
      </c>
      <c r="I199" s="10">
        <f t="shared" si="38"/>
        <v>1.6301300000000001E-2</v>
      </c>
      <c r="J199" s="10">
        <f t="shared" si="39"/>
        <v>1.6301300000000001E-2</v>
      </c>
      <c r="K199" s="10" t="str">
        <f t="shared" si="40"/>
        <v/>
      </c>
      <c r="L199" s="9">
        <f t="shared" si="41"/>
        <v>2.9836987000000001</v>
      </c>
      <c r="M199" s="9">
        <f t="shared" si="42"/>
        <v>2.9836987000000001</v>
      </c>
      <c r="N199" s="9" t="str">
        <f t="shared" si="43"/>
        <v/>
      </c>
      <c r="O199" s="4" t="s">
        <v>755</v>
      </c>
      <c r="P199" s="1" t="s">
        <v>1862</v>
      </c>
      <c r="Q199" s="7" t="s">
        <v>881</v>
      </c>
      <c r="R199" s="7" t="s">
        <v>1462</v>
      </c>
      <c r="S199" s="8" t="s">
        <v>1463</v>
      </c>
      <c r="T199" s="7"/>
      <c r="U199" t="str">
        <f t="shared" si="44"/>
        <v/>
      </c>
      <c r="V199" t="str">
        <f t="shared" si="45"/>
        <v/>
      </c>
      <c r="W199" t="str">
        <f t="shared" si="46"/>
        <v/>
      </c>
      <c r="X199" t="str">
        <f t="shared" si="47"/>
        <v/>
      </c>
      <c r="Y199" t="str">
        <f>VLOOKUP($A199,Runs!$G:$G,1,FALSE)</f>
        <v>A Sun God</v>
      </c>
    </row>
    <row r="200" spans="1:25" ht="22.5" customHeight="1" x14ac:dyDescent="0.25">
      <c r="A200" s="2" t="s">
        <v>469</v>
      </c>
      <c r="B200" s="2" t="s">
        <v>470</v>
      </c>
      <c r="C200" s="3">
        <v>1.7000000000000001E-2</v>
      </c>
      <c r="D200" s="6" t="s">
        <v>434</v>
      </c>
      <c r="E200">
        <f>(30-C200*100)*VLOOKUP($D200,Calc!$A$1:$C$6,3,FALSE)</f>
        <v>141.5</v>
      </c>
      <c r="F200" s="6">
        <f>VLOOKUP(D200,Calc!$A$1:$B$6,2,FALSE)</f>
        <v>4</v>
      </c>
      <c r="G200" s="10">
        <f t="shared" si="36"/>
        <v>1.7400000000000002E-2</v>
      </c>
      <c r="H200" s="9">
        <f t="shared" si="37"/>
        <v>5.7000000000000003E-5</v>
      </c>
      <c r="I200" s="10">
        <f t="shared" si="38"/>
        <v>1.7405700000000003E-2</v>
      </c>
      <c r="J200" s="10">
        <f t="shared" si="39"/>
        <v>1.7405700000000003E-2</v>
      </c>
      <c r="K200" s="10" t="str">
        <f t="shared" si="40"/>
        <v/>
      </c>
      <c r="L200" s="9">
        <f t="shared" si="41"/>
        <v>3.9825943000000001</v>
      </c>
      <c r="M200" s="9">
        <f t="shared" si="42"/>
        <v>3.9825943000000001</v>
      </c>
      <c r="N200" s="9" t="str">
        <f t="shared" si="43"/>
        <v/>
      </c>
      <c r="O200" s="4" t="s">
        <v>755</v>
      </c>
      <c r="P200" s="1" t="s">
        <v>1696</v>
      </c>
      <c r="Q200" s="7" t="s">
        <v>932</v>
      </c>
      <c r="R200" s="7" t="s">
        <v>1333</v>
      </c>
      <c r="S200" s="7" t="s">
        <v>1334</v>
      </c>
      <c r="T200" s="7" t="s">
        <v>1300</v>
      </c>
      <c r="U200" t="str">
        <f t="shared" si="44"/>
        <v/>
      </c>
      <c r="V200" t="str">
        <f t="shared" si="45"/>
        <v/>
      </c>
      <c r="W200" t="str">
        <f t="shared" si="46"/>
        <v/>
      </c>
      <c r="X200" t="str">
        <f t="shared" si="47"/>
        <v/>
      </c>
      <c r="Y200" t="str">
        <f>VLOOKUP($A200,Runs!$G:$G,1,FALSE)</f>
        <v>Forever Golden</v>
      </c>
    </row>
    <row r="201" spans="1:25" ht="22.5" customHeight="1" x14ac:dyDescent="0.25">
      <c r="A201" s="2" t="s">
        <v>344</v>
      </c>
      <c r="B201" s="2" t="s">
        <v>345</v>
      </c>
      <c r="C201" s="3">
        <v>1.7000000000000001E-2</v>
      </c>
      <c r="D201" s="6" t="s">
        <v>242</v>
      </c>
      <c r="E201">
        <f>(30-C201*100)*VLOOKUP($D201,Calc!$A$1:$C$6,3,FALSE)</f>
        <v>70.75</v>
      </c>
      <c r="F201" s="6">
        <f>VLOOKUP(D201,Calc!$A$1:$B$6,2,FALSE)</f>
        <v>3</v>
      </c>
      <c r="G201" s="10">
        <f t="shared" si="36"/>
        <v>1.7300000000000003E-2</v>
      </c>
      <c r="H201" s="9">
        <f t="shared" si="37"/>
        <v>3.4E-5</v>
      </c>
      <c r="I201" s="10">
        <f t="shared" si="38"/>
        <v>1.7303400000000004E-2</v>
      </c>
      <c r="J201" s="10">
        <f t="shared" si="39"/>
        <v>1.7303400000000004E-2</v>
      </c>
      <c r="K201" s="10" t="str">
        <f t="shared" si="40"/>
        <v/>
      </c>
      <c r="L201" s="9">
        <f t="shared" si="41"/>
        <v>2.9826966000000001</v>
      </c>
      <c r="M201" s="9">
        <f t="shared" si="42"/>
        <v>2.9826966000000001</v>
      </c>
      <c r="N201" s="9" t="str">
        <f t="shared" si="43"/>
        <v/>
      </c>
      <c r="O201" s="4" t="s">
        <v>755</v>
      </c>
      <c r="P201" s="1" t="s">
        <v>1710</v>
      </c>
      <c r="Q201" s="7" t="s">
        <v>1204</v>
      </c>
      <c r="R201" s="7" t="s">
        <v>1205</v>
      </c>
      <c r="S201" s="8" t="s">
        <v>1206</v>
      </c>
      <c r="T201" s="7"/>
      <c r="U201" t="str">
        <f t="shared" si="44"/>
        <v/>
      </c>
      <c r="V201" t="str">
        <f t="shared" si="45"/>
        <v/>
      </c>
      <c r="W201" t="str">
        <f t="shared" si="46"/>
        <v/>
      </c>
      <c r="X201" t="str">
        <f t="shared" si="47"/>
        <v/>
      </c>
      <c r="Y201" t="e">
        <f>VLOOKUP($A201,Runs!$G:$G,1,FALSE)</f>
        <v>#N/A</v>
      </c>
    </row>
    <row r="202" spans="1:25" ht="22.5" customHeight="1" x14ac:dyDescent="0.25">
      <c r="A202" s="2" t="s">
        <v>342</v>
      </c>
      <c r="B202" s="2" t="s">
        <v>343</v>
      </c>
      <c r="C202" s="3">
        <v>1.7000000000000001E-2</v>
      </c>
      <c r="D202" s="6" t="s">
        <v>242</v>
      </c>
      <c r="E202">
        <f>(30-C202*100)*VLOOKUP($D202,Calc!$A$1:$C$6,3,FALSE)</f>
        <v>70.75</v>
      </c>
      <c r="F202" s="6">
        <f>VLOOKUP(D202,Calc!$A$1:$B$6,2,FALSE)</f>
        <v>3</v>
      </c>
      <c r="G202" s="10">
        <f t="shared" si="36"/>
        <v>1.7300000000000003E-2</v>
      </c>
      <c r="H202" s="9">
        <f t="shared" si="37"/>
        <v>1.3200000000000001E-4</v>
      </c>
      <c r="I202" s="10">
        <f t="shared" si="38"/>
        <v>1.7313200000000004E-2</v>
      </c>
      <c r="J202" s="10">
        <f t="shared" si="39"/>
        <v>1.7313200000000004E-2</v>
      </c>
      <c r="K202" s="10" t="str">
        <f t="shared" si="40"/>
        <v/>
      </c>
      <c r="L202" s="9">
        <f t="shared" si="41"/>
        <v>2.9826868000000002</v>
      </c>
      <c r="M202" s="9">
        <f t="shared" si="42"/>
        <v>2.9826868000000002</v>
      </c>
      <c r="N202" s="9" t="str">
        <f t="shared" si="43"/>
        <v/>
      </c>
      <c r="O202" s="4" t="s">
        <v>755</v>
      </c>
      <c r="P202" s="1" t="s">
        <v>764</v>
      </c>
      <c r="Q202" s="7" t="s">
        <v>1201</v>
      </c>
      <c r="R202" s="7" t="s">
        <v>1202</v>
      </c>
      <c r="S202" s="8" t="s">
        <v>1203</v>
      </c>
      <c r="T202" s="7"/>
      <c r="U202" t="str">
        <f t="shared" si="44"/>
        <v/>
      </c>
      <c r="V202" t="str">
        <f t="shared" si="45"/>
        <v/>
      </c>
      <c r="W202" t="str">
        <f t="shared" si="46"/>
        <v/>
      </c>
      <c r="X202" t="str">
        <f t="shared" si="47"/>
        <v/>
      </c>
      <c r="Y202" t="e">
        <f>VLOOKUP($A202,Runs!$G:$G,1,FALSE)</f>
        <v>#N/A</v>
      </c>
    </row>
    <row r="203" spans="1:25" ht="22.5" customHeight="1" x14ac:dyDescent="0.25">
      <c r="A203" s="2" t="s">
        <v>308</v>
      </c>
      <c r="B203" s="2" t="s">
        <v>686</v>
      </c>
      <c r="C203" s="3">
        <v>1.7000000000000001E-2</v>
      </c>
      <c r="D203" s="6" t="s">
        <v>242</v>
      </c>
      <c r="E203">
        <f>(30-C203*100)*VLOOKUP($D203,Calc!$A$1:$C$6,3,FALSE)</f>
        <v>70.75</v>
      </c>
      <c r="F203" s="6">
        <f>VLOOKUP(D203,Calc!$A$1:$B$6,2,FALSE)</f>
        <v>3</v>
      </c>
      <c r="G203" s="10">
        <f t="shared" si="36"/>
        <v>1.7300000000000003E-2</v>
      </c>
      <c r="H203" s="9">
        <f t="shared" si="37"/>
        <v>1.03E-4</v>
      </c>
      <c r="I203" s="10">
        <f t="shared" si="38"/>
        <v>1.7310300000000004E-2</v>
      </c>
      <c r="J203" s="10">
        <f t="shared" si="39"/>
        <v>1.7310300000000004E-2</v>
      </c>
      <c r="K203" s="10" t="str">
        <f t="shared" si="40"/>
        <v/>
      </c>
      <c r="L203" s="9">
        <f t="shared" si="41"/>
        <v>2.9826896999999999</v>
      </c>
      <c r="M203" s="9">
        <f t="shared" si="42"/>
        <v>2.9826896999999999</v>
      </c>
      <c r="N203" s="9" t="str">
        <f t="shared" si="43"/>
        <v/>
      </c>
      <c r="O203" s="4" t="s">
        <v>755</v>
      </c>
      <c r="P203" s="1" t="s">
        <v>1709</v>
      </c>
      <c r="Q203" s="7" t="s">
        <v>1136</v>
      </c>
      <c r="R203" s="7" t="s">
        <v>1137</v>
      </c>
      <c r="S203" s="8" t="s">
        <v>1138</v>
      </c>
      <c r="T203" s="7"/>
      <c r="U203" t="str">
        <f t="shared" si="44"/>
        <v/>
      </c>
      <c r="V203" t="str">
        <f t="shared" si="45"/>
        <v/>
      </c>
      <c r="W203" t="str">
        <f t="shared" si="46"/>
        <v/>
      </c>
      <c r="X203" t="str">
        <f t="shared" si="47"/>
        <v/>
      </c>
      <c r="Y203" t="e">
        <f>VLOOKUP($A203,Runs!$G:$G,1,FALSE)</f>
        <v>#N/A</v>
      </c>
    </row>
    <row r="204" spans="1:25" ht="22.5" customHeight="1" x14ac:dyDescent="0.25">
      <c r="A204" s="2" t="s">
        <v>398</v>
      </c>
      <c r="B204" s="2" t="s">
        <v>399</v>
      </c>
      <c r="C204" s="3">
        <v>1.7000000000000001E-2</v>
      </c>
      <c r="D204" s="6" t="s">
        <v>242</v>
      </c>
      <c r="E204">
        <f>(30-C204*100)*VLOOKUP($D204,Calc!$A$1:$C$6,3,FALSE)</f>
        <v>70.75</v>
      </c>
      <c r="F204" s="6">
        <f>VLOOKUP(D204,Calc!$A$1:$B$6,2,FALSE)</f>
        <v>3</v>
      </c>
      <c r="G204" s="10">
        <f t="shared" si="36"/>
        <v>1.7300000000000003E-2</v>
      </c>
      <c r="H204" s="9">
        <f t="shared" si="37"/>
        <v>-2.4000000000000001E-5</v>
      </c>
      <c r="I204" s="10">
        <f t="shared" si="38"/>
        <v>1.7297600000000003E-2</v>
      </c>
      <c r="J204" s="10">
        <f t="shared" si="39"/>
        <v>1.7297600000000003E-2</v>
      </c>
      <c r="K204" s="10" t="str">
        <f t="shared" si="40"/>
        <v/>
      </c>
      <c r="L204" s="9">
        <f t="shared" si="41"/>
        <v>2.9827024</v>
      </c>
      <c r="M204" s="9">
        <f t="shared" si="42"/>
        <v>2.9827024</v>
      </c>
      <c r="N204" s="9" t="str">
        <f t="shared" si="43"/>
        <v/>
      </c>
      <c r="O204" s="4" t="s">
        <v>755</v>
      </c>
      <c r="P204" s="1" t="s">
        <v>1663</v>
      </c>
      <c r="Q204" s="7"/>
      <c r="R204" s="7" t="s">
        <v>1308</v>
      </c>
      <c r="S204" s="8" t="s">
        <v>1309</v>
      </c>
      <c r="T204" s="7"/>
      <c r="U204" t="str">
        <f t="shared" si="44"/>
        <v/>
      </c>
      <c r="V204" t="str">
        <f t="shared" si="45"/>
        <v/>
      </c>
      <c r="W204" t="str">
        <f t="shared" si="46"/>
        <v/>
      </c>
      <c r="X204" t="str">
        <f t="shared" si="47"/>
        <v/>
      </c>
      <c r="Y204" t="e">
        <f>VLOOKUP($A204,Runs!$G:$G,1,FALSE)</f>
        <v>#N/A</v>
      </c>
    </row>
    <row r="205" spans="1:25" ht="22.5" customHeight="1" x14ac:dyDescent="0.25">
      <c r="A205" s="2" t="s">
        <v>59</v>
      </c>
      <c r="B205" s="2" t="s">
        <v>60</v>
      </c>
      <c r="C205" s="3">
        <v>1.7000000000000001E-2</v>
      </c>
      <c r="D205" s="6" t="s">
        <v>2</v>
      </c>
      <c r="E205">
        <f>(30-C205*100)*VLOOKUP($D205,Calc!$A$1:$C$6,3,FALSE)</f>
        <v>14.15</v>
      </c>
      <c r="F205" s="6">
        <f>VLOOKUP(D205,Calc!$A$1:$B$6,2,FALSE)</f>
        <v>1</v>
      </c>
      <c r="G205" s="10">
        <f t="shared" si="36"/>
        <v>1.7100000000000001E-2</v>
      </c>
      <c r="H205" s="9">
        <f t="shared" si="37"/>
        <v>2.0999999999999999E-5</v>
      </c>
      <c r="I205" s="10">
        <f t="shared" si="38"/>
        <v>1.7102100000000002E-2</v>
      </c>
      <c r="J205" s="10" t="str">
        <f t="shared" si="39"/>
        <v/>
      </c>
      <c r="K205" s="10">
        <f t="shared" si="40"/>
        <v>1.7102100000000002E-2</v>
      </c>
      <c r="L205" s="9">
        <f t="shared" si="41"/>
        <v>0.98289789999999999</v>
      </c>
      <c r="M205" s="9" t="str">
        <f t="shared" si="42"/>
        <v/>
      </c>
      <c r="N205" s="9">
        <f t="shared" si="43"/>
        <v>0.98289789999999999</v>
      </c>
      <c r="O205" s="4"/>
      <c r="Q205" s="7" t="s">
        <v>846</v>
      </c>
      <c r="R205" s="7" t="s">
        <v>847</v>
      </c>
      <c r="S205" s="8" t="s">
        <v>848</v>
      </c>
      <c r="T205" s="7"/>
      <c r="U205" t="str">
        <f t="shared" si="44"/>
        <v/>
      </c>
      <c r="V205" t="str">
        <f t="shared" si="45"/>
        <v/>
      </c>
      <c r="W205" t="str">
        <f t="shared" si="46"/>
        <v/>
      </c>
      <c r="X205">
        <f t="shared" si="47"/>
        <v>1.7102100000000002E-2</v>
      </c>
      <c r="Y205" t="e">
        <f>VLOOKUP($A205,Runs!$G:$G,1,FALSE)</f>
        <v>#N/A</v>
      </c>
    </row>
    <row r="206" spans="1:25" ht="22.5" customHeight="1" x14ac:dyDescent="0.25">
      <c r="A206" s="2" t="s">
        <v>221</v>
      </c>
      <c r="B206" s="2" t="s">
        <v>222</v>
      </c>
      <c r="C206" s="3">
        <v>1.7999999999999999E-2</v>
      </c>
      <c r="D206" s="6" t="s">
        <v>105</v>
      </c>
      <c r="E206">
        <f>(30-C206*100)*VLOOKUP($D206,Calc!$A$1:$C$6,3,FALSE)</f>
        <v>28.2</v>
      </c>
      <c r="F206" s="6">
        <f>VLOOKUP(D206,Calc!$A$1:$B$6,2,FALSE)</f>
        <v>2</v>
      </c>
      <c r="G206" s="10">
        <f t="shared" si="36"/>
        <v>1.8199999999999997E-2</v>
      </c>
      <c r="H206" s="9">
        <f t="shared" si="37"/>
        <v>4.8999999999999998E-5</v>
      </c>
      <c r="I206" s="10">
        <f t="shared" si="38"/>
        <v>1.8204899999999996E-2</v>
      </c>
      <c r="J206" s="10">
        <f t="shared" si="39"/>
        <v>1.8204899999999996E-2</v>
      </c>
      <c r="K206" s="10" t="str">
        <f t="shared" si="40"/>
        <v/>
      </c>
      <c r="L206" s="9">
        <f t="shared" si="41"/>
        <v>1.9817951</v>
      </c>
      <c r="M206" s="9">
        <f t="shared" si="42"/>
        <v>1.9817951</v>
      </c>
      <c r="N206" s="9" t="str">
        <f t="shared" si="43"/>
        <v/>
      </c>
      <c r="O206" s="4" t="s">
        <v>755</v>
      </c>
      <c r="P206" s="1" t="s">
        <v>761</v>
      </c>
      <c r="Q206" s="7"/>
      <c r="R206" s="7" t="s">
        <v>1199</v>
      </c>
      <c r="S206" s="7" t="s">
        <v>1200</v>
      </c>
      <c r="T206" s="7" t="s">
        <v>770</v>
      </c>
      <c r="U206" t="str">
        <f t="shared" si="44"/>
        <v/>
      </c>
      <c r="V206" t="str">
        <f t="shared" si="45"/>
        <v/>
      </c>
      <c r="W206" t="str">
        <f t="shared" si="46"/>
        <v/>
      </c>
      <c r="X206" t="str">
        <f t="shared" si="47"/>
        <v/>
      </c>
      <c r="Y206" t="e">
        <f>VLOOKUP($A206,Runs!$G:$G,1,FALSE)</f>
        <v>#N/A</v>
      </c>
    </row>
    <row r="207" spans="1:25" ht="22.5" customHeight="1" x14ac:dyDescent="0.25">
      <c r="A207" s="2" t="s">
        <v>176</v>
      </c>
      <c r="B207" s="2" t="s">
        <v>177</v>
      </c>
      <c r="C207" s="3">
        <v>1.7999999999999999E-2</v>
      </c>
      <c r="D207" s="6" t="s">
        <v>105</v>
      </c>
      <c r="E207">
        <f>(30-C207*100)*VLOOKUP($D207,Calc!$A$1:$C$6,3,FALSE)</f>
        <v>28.2</v>
      </c>
      <c r="F207" s="6">
        <f>VLOOKUP(D207,Calc!$A$1:$B$6,2,FALSE)</f>
        <v>2</v>
      </c>
      <c r="G207" s="10">
        <f t="shared" si="36"/>
        <v>1.8199999999999997E-2</v>
      </c>
      <c r="H207" s="9">
        <f t="shared" si="37"/>
        <v>3.8999999999999999E-5</v>
      </c>
      <c r="I207" s="10">
        <f t="shared" si="38"/>
        <v>1.8203899999999999E-2</v>
      </c>
      <c r="J207" s="10" t="str">
        <f t="shared" si="39"/>
        <v/>
      </c>
      <c r="K207" s="10">
        <f t="shared" si="40"/>
        <v>1.8203899999999999E-2</v>
      </c>
      <c r="L207" s="9">
        <f t="shared" si="41"/>
        <v>1.9817960999999999</v>
      </c>
      <c r="M207" s="9" t="str">
        <f t="shared" si="42"/>
        <v/>
      </c>
      <c r="N207" s="9">
        <f t="shared" si="43"/>
        <v>1.9817960999999999</v>
      </c>
      <c r="O207" s="4"/>
      <c r="Q207" s="7"/>
      <c r="R207" s="8" t="s">
        <v>985</v>
      </c>
      <c r="S207" s="7"/>
      <c r="T207" s="7" t="s">
        <v>986</v>
      </c>
      <c r="U207">
        <f t="shared" si="44"/>
        <v>1.8203899999999999E-2</v>
      </c>
      <c r="V207" t="str">
        <f t="shared" si="45"/>
        <v/>
      </c>
      <c r="W207" t="str">
        <f t="shared" si="46"/>
        <v/>
      </c>
      <c r="X207" t="str">
        <f t="shared" si="47"/>
        <v/>
      </c>
      <c r="Y207" t="e">
        <f>VLOOKUP($A207,Runs!$G:$G,1,FALSE)</f>
        <v>#N/A</v>
      </c>
    </row>
    <row r="208" spans="1:25" ht="22.5" customHeight="1" x14ac:dyDescent="0.25">
      <c r="A208" s="2" t="s">
        <v>157</v>
      </c>
      <c r="B208" s="2" t="s">
        <v>158</v>
      </c>
      <c r="C208" s="3">
        <v>1.7999999999999999E-2</v>
      </c>
      <c r="D208" s="6" t="s">
        <v>105</v>
      </c>
      <c r="E208">
        <f>(30-C208*100)*VLOOKUP($D208,Calc!$A$1:$C$6,3,FALSE)</f>
        <v>28.2</v>
      </c>
      <c r="F208" s="6">
        <f>VLOOKUP(D208,Calc!$A$1:$B$6,2,FALSE)</f>
        <v>2</v>
      </c>
      <c r="G208" s="10">
        <f t="shared" si="36"/>
        <v>1.8199999999999997E-2</v>
      </c>
      <c r="H208" s="9">
        <f t="shared" si="37"/>
        <v>-1.8E-5</v>
      </c>
      <c r="I208" s="10">
        <f t="shared" si="38"/>
        <v>1.8198199999999998E-2</v>
      </c>
      <c r="J208" s="10">
        <f t="shared" si="39"/>
        <v>1.8198199999999998E-2</v>
      </c>
      <c r="K208" s="10" t="str">
        <f t="shared" si="40"/>
        <v/>
      </c>
      <c r="L208" s="9">
        <f t="shared" si="41"/>
        <v>1.9818017999999999</v>
      </c>
      <c r="M208" s="9">
        <f t="shared" si="42"/>
        <v>1.9818017999999999</v>
      </c>
      <c r="N208" s="9" t="str">
        <f t="shared" si="43"/>
        <v/>
      </c>
      <c r="O208" s="4" t="s">
        <v>755</v>
      </c>
      <c r="P208" s="1" t="s">
        <v>1709</v>
      </c>
      <c r="Q208" s="7" t="s">
        <v>959</v>
      </c>
      <c r="R208" s="7" t="s">
        <v>960</v>
      </c>
      <c r="S208" s="8" t="s">
        <v>961</v>
      </c>
      <c r="T208" s="7"/>
      <c r="U208" t="str">
        <f t="shared" si="44"/>
        <v/>
      </c>
      <c r="V208" t="str">
        <f t="shared" si="45"/>
        <v/>
      </c>
      <c r="W208" t="str">
        <f t="shared" si="46"/>
        <v/>
      </c>
      <c r="X208" t="str">
        <f t="shared" si="47"/>
        <v/>
      </c>
      <c r="Y208" t="e">
        <f>VLOOKUP($A208,Runs!$G:$G,1,FALSE)</f>
        <v>#N/A</v>
      </c>
    </row>
    <row r="209" spans="1:25" ht="22.5" customHeight="1" x14ac:dyDescent="0.25">
      <c r="A209" s="2" t="s">
        <v>147</v>
      </c>
      <c r="B209" s="2" t="s">
        <v>677</v>
      </c>
      <c r="C209" s="3">
        <v>1.7999999999999999E-2</v>
      </c>
      <c r="D209" s="6" t="s">
        <v>105</v>
      </c>
      <c r="E209">
        <f>(30-C209*100)*VLOOKUP($D209,Calc!$A$1:$C$6,3,FALSE)</f>
        <v>28.2</v>
      </c>
      <c r="F209" s="6">
        <f>VLOOKUP(D209,Calc!$A$1:$B$6,2,FALSE)</f>
        <v>2</v>
      </c>
      <c r="G209" s="10">
        <f t="shared" si="36"/>
        <v>1.8199999999999997E-2</v>
      </c>
      <c r="H209" s="9">
        <f t="shared" si="37"/>
        <v>5.5999999999999999E-5</v>
      </c>
      <c r="I209" s="10">
        <f t="shared" si="38"/>
        <v>1.8205599999999999E-2</v>
      </c>
      <c r="J209" s="10">
        <f t="shared" si="39"/>
        <v>1.8205599999999999E-2</v>
      </c>
      <c r="K209" s="10" t="str">
        <f t="shared" si="40"/>
        <v/>
      </c>
      <c r="L209" s="9">
        <f t="shared" si="41"/>
        <v>1.9817944000000001</v>
      </c>
      <c r="M209" s="9">
        <f t="shared" si="42"/>
        <v>1.9817944000000001</v>
      </c>
      <c r="N209" s="9" t="str">
        <f t="shared" si="43"/>
        <v/>
      </c>
      <c r="O209" s="4" t="s">
        <v>755</v>
      </c>
      <c r="P209" s="1" t="s">
        <v>1675</v>
      </c>
      <c r="Q209" s="7" t="s">
        <v>932</v>
      </c>
      <c r="R209" s="7" t="s">
        <v>942</v>
      </c>
      <c r="S209" s="8" t="s">
        <v>943</v>
      </c>
      <c r="T209" s="7"/>
      <c r="U209" t="str">
        <f t="shared" si="44"/>
        <v/>
      </c>
      <c r="V209" t="str">
        <f t="shared" si="45"/>
        <v/>
      </c>
      <c r="W209" t="str">
        <f t="shared" si="46"/>
        <v/>
      </c>
      <c r="X209" t="str">
        <f t="shared" si="47"/>
        <v/>
      </c>
      <c r="Y209" t="e">
        <f>VLOOKUP($A209,Runs!$G:$G,1,FALSE)</f>
        <v>#N/A</v>
      </c>
    </row>
    <row r="210" spans="1:25" ht="22.5" customHeight="1" x14ac:dyDescent="0.25">
      <c r="A210" s="2" t="s">
        <v>117</v>
      </c>
      <c r="B210" s="2" t="s">
        <v>118</v>
      </c>
      <c r="C210" s="3">
        <v>1.7999999999999999E-2</v>
      </c>
      <c r="D210" s="6" t="s">
        <v>105</v>
      </c>
      <c r="E210">
        <f>(30-C210*100)*VLOOKUP($D210,Calc!$A$1:$C$6,3,FALSE)</f>
        <v>28.2</v>
      </c>
      <c r="F210" s="6">
        <f>VLOOKUP(D210,Calc!$A$1:$B$6,2,FALSE)</f>
        <v>2</v>
      </c>
      <c r="G210" s="10">
        <f t="shared" si="36"/>
        <v>1.8199999999999997E-2</v>
      </c>
      <c r="H210" s="9">
        <f t="shared" si="37"/>
        <v>-5.5999999999999999E-5</v>
      </c>
      <c r="I210" s="10">
        <f t="shared" si="38"/>
        <v>1.8194399999999996E-2</v>
      </c>
      <c r="J210" s="10" t="str">
        <f t="shared" si="39"/>
        <v/>
      </c>
      <c r="K210" s="10">
        <f t="shared" si="40"/>
        <v>1.8194399999999996E-2</v>
      </c>
      <c r="L210" s="9">
        <f t="shared" si="41"/>
        <v>1.9818055999999999</v>
      </c>
      <c r="M210" s="9" t="str">
        <f t="shared" si="42"/>
        <v/>
      </c>
      <c r="N210" s="9">
        <f t="shared" si="43"/>
        <v>1.9818055999999999</v>
      </c>
      <c r="O210" s="4"/>
      <c r="Q210" s="7" t="s">
        <v>887</v>
      </c>
      <c r="R210" s="7" t="s">
        <v>888</v>
      </c>
      <c r="S210" s="8" t="s">
        <v>889</v>
      </c>
      <c r="T210" s="7"/>
      <c r="U210">
        <f t="shared" si="44"/>
        <v>1.8194399999999996E-2</v>
      </c>
      <c r="V210" t="str">
        <f t="shared" si="45"/>
        <v/>
      </c>
      <c r="W210" t="str">
        <f t="shared" si="46"/>
        <v/>
      </c>
      <c r="X210" t="str">
        <f t="shared" si="47"/>
        <v/>
      </c>
      <c r="Y210" t="str">
        <f>VLOOKUP($A210,Runs!$G:$G,1,FALSE)</f>
        <v>Baa Baa Black Sheep</v>
      </c>
    </row>
    <row r="211" spans="1:25" ht="22.5" customHeight="1" x14ac:dyDescent="0.25">
      <c r="A211" s="2" t="s">
        <v>558</v>
      </c>
      <c r="B211" s="2" t="s">
        <v>559</v>
      </c>
      <c r="C211" s="3">
        <v>1.7999999999999999E-2</v>
      </c>
      <c r="D211" s="6" t="s">
        <v>434</v>
      </c>
      <c r="E211">
        <f>(30-C211*100)*VLOOKUP($D211,Calc!$A$1:$C$6,3,FALSE)</f>
        <v>141</v>
      </c>
      <c r="F211" s="6">
        <f>VLOOKUP(D211,Calc!$A$1:$B$6,2,FALSE)</f>
        <v>4</v>
      </c>
      <c r="G211" s="10">
        <f t="shared" si="36"/>
        <v>1.84E-2</v>
      </c>
      <c r="H211" s="9">
        <f t="shared" si="37"/>
        <v>2.3E-5</v>
      </c>
      <c r="I211" s="10">
        <f t="shared" si="38"/>
        <v>1.84023E-2</v>
      </c>
      <c r="J211" s="10">
        <f t="shared" si="39"/>
        <v>1.84023E-2</v>
      </c>
      <c r="K211" s="10" t="str">
        <f t="shared" si="40"/>
        <v/>
      </c>
      <c r="L211" s="9">
        <f t="shared" si="41"/>
        <v>3.9815977</v>
      </c>
      <c r="M211" s="9">
        <f t="shared" si="42"/>
        <v>3.9815977</v>
      </c>
      <c r="N211" s="9" t="str">
        <f t="shared" si="43"/>
        <v/>
      </c>
      <c r="O211" s="4" t="s">
        <v>755</v>
      </c>
      <c r="P211" s="1" t="s">
        <v>1868</v>
      </c>
      <c r="Q211" s="7" t="s">
        <v>1560</v>
      </c>
      <c r="R211" s="7" t="s">
        <v>1561</v>
      </c>
      <c r="S211" s="8" t="s">
        <v>1562</v>
      </c>
      <c r="T211" s="7"/>
      <c r="U211" t="str">
        <f t="shared" si="44"/>
        <v/>
      </c>
      <c r="V211" t="str">
        <f t="shared" si="45"/>
        <v/>
      </c>
      <c r="W211" t="str">
        <f t="shared" si="46"/>
        <v/>
      </c>
      <c r="X211" t="str">
        <f t="shared" si="47"/>
        <v/>
      </c>
      <c r="Y211" t="str">
        <f>VLOOKUP($A211,Runs!$G:$G,1,FALSE)</f>
        <v>The Re-Reconquista</v>
      </c>
    </row>
    <row r="212" spans="1:25" ht="22.5" customHeight="1" x14ac:dyDescent="0.25">
      <c r="A212" s="2" t="s">
        <v>480</v>
      </c>
      <c r="B212" s="2" t="s">
        <v>481</v>
      </c>
      <c r="C212" s="3">
        <v>1.7999999999999999E-2</v>
      </c>
      <c r="D212" s="6" t="s">
        <v>434</v>
      </c>
      <c r="E212">
        <f>(30-C212*100)*VLOOKUP($D212,Calc!$A$1:$C$6,3,FALSE)</f>
        <v>141</v>
      </c>
      <c r="F212" s="6">
        <f>VLOOKUP(D212,Calc!$A$1:$B$6,2,FALSE)</f>
        <v>4</v>
      </c>
      <c r="G212" s="10">
        <f t="shared" si="36"/>
        <v>1.84E-2</v>
      </c>
      <c r="H212" s="9">
        <f t="shared" si="37"/>
        <v>-1.9999999999999999E-6</v>
      </c>
      <c r="I212" s="10">
        <f t="shared" si="38"/>
        <v>1.8399800000000001E-2</v>
      </c>
      <c r="J212" s="10">
        <f t="shared" si="39"/>
        <v>1.8399800000000001E-2</v>
      </c>
      <c r="K212" s="10" t="str">
        <f t="shared" si="40"/>
        <v/>
      </c>
      <c r="L212" s="9">
        <f t="shared" si="41"/>
        <v>3.9816001999999999</v>
      </c>
      <c r="M212" s="9">
        <f t="shared" si="42"/>
        <v>3.9816001999999999</v>
      </c>
      <c r="N212" s="9" t="str">
        <f t="shared" si="43"/>
        <v/>
      </c>
      <c r="O212" s="4" t="s">
        <v>755</v>
      </c>
      <c r="P212" s="1" t="s">
        <v>1711</v>
      </c>
      <c r="Q212" s="7" t="s">
        <v>1355</v>
      </c>
      <c r="R212" s="7" t="s">
        <v>1339</v>
      </c>
      <c r="S212" s="8" t="s">
        <v>1356</v>
      </c>
      <c r="T212" s="7"/>
      <c r="U212" t="str">
        <f t="shared" si="44"/>
        <v/>
      </c>
      <c r="V212" t="str">
        <f t="shared" si="45"/>
        <v/>
      </c>
      <c r="W212" t="str">
        <f t="shared" si="46"/>
        <v/>
      </c>
      <c r="X212" t="str">
        <f t="shared" si="47"/>
        <v/>
      </c>
      <c r="Y212" t="e">
        <f>VLOOKUP($A212,Runs!$G:$G,1,FALSE)</f>
        <v>#N/A</v>
      </c>
    </row>
    <row r="213" spans="1:25" ht="22.5" customHeight="1" x14ac:dyDescent="0.25">
      <c r="A213" s="2" t="s">
        <v>545</v>
      </c>
      <c r="B213" s="2" t="s">
        <v>546</v>
      </c>
      <c r="C213" s="3">
        <v>1.7999999999999999E-2</v>
      </c>
      <c r="D213" s="6" t="s">
        <v>434</v>
      </c>
      <c r="E213">
        <f>(30-C213*100)*VLOOKUP($D213,Calc!$A$1:$C$6,3,FALSE)</f>
        <v>141</v>
      </c>
      <c r="F213" s="6">
        <f>VLOOKUP(D213,Calc!$A$1:$B$6,2,FALSE)</f>
        <v>4</v>
      </c>
      <c r="G213" s="10">
        <f t="shared" si="36"/>
        <v>1.84E-2</v>
      </c>
      <c r="H213" s="9">
        <f t="shared" si="37"/>
        <v>1.9999999999999999E-6</v>
      </c>
      <c r="I213" s="10">
        <f t="shared" si="38"/>
        <v>1.8400199999999999E-2</v>
      </c>
      <c r="J213" s="10">
        <f t="shared" si="39"/>
        <v>1.8400199999999999E-2</v>
      </c>
      <c r="K213" s="10" t="str">
        <f t="shared" si="40"/>
        <v/>
      </c>
      <c r="L213" s="9">
        <f t="shared" si="41"/>
        <v>3.9815998000000001</v>
      </c>
      <c r="M213" s="9">
        <f t="shared" si="42"/>
        <v>3.9815998000000001</v>
      </c>
      <c r="N213" s="9" t="str">
        <f t="shared" si="43"/>
        <v/>
      </c>
      <c r="O213" s="4" t="s">
        <v>755</v>
      </c>
      <c r="P213" s="1" t="s">
        <v>1663</v>
      </c>
      <c r="Q213" s="7" t="s">
        <v>829</v>
      </c>
      <c r="R213" s="8" t="s">
        <v>1507</v>
      </c>
      <c r="S213" s="7"/>
      <c r="T213" s="7"/>
      <c r="U213" t="str">
        <f t="shared" si="44"/>
        <v/>
      </c>
      <c r="V213" t="str">
        <f t="shared" si="45"/>
        <v/>
      </c>
      <c r="W213" t="str">
        <f t="shared" si="46"/>
        <v/>
      </c>
      <c r="X213" t="str">
        <f t="shared" si="47"/>
        <v/>
      </c>
      <c r="Y213" t="e">
        <f>VLOOKUP($A213,Runs!$G:$G,1,FALSE)</f>
        <v>#N/A</v>
      </c>
    </row>
    <row r="214" spans="1:25" ht="22.5" customHeight="1" x14ac:dyDescent="0.25">
      <c r="A214" s="2" t="s">
        <v>452</v>
      </c>
      <c r="B214" s="2" t="s">
        <v>453</v>
      </c>
      <c r="C214" s="3">
        <v>1.7999999999999999E-2</v>
      </c>
      <c r="D214" s="6" t="s">
        <v>434</v>
      </c>
      <c r="E214">
        <f>(30-C214*100)*VLOOKUP($D214,Calc!$A$1:$C$6,3,FALSE)</f>
        <v>141</v>
      </c>
      <c r="F214" s="6">
        <f>VLOOKUP(D214,Calc!$A$1:$B$6,2,FALSE)</f>
        <v>4</v>
      </c>
      <c r="G214" s="10">
        <f t="shared" si="36"/>
        <v>1.84E-2</v>
      </c>
      <c r="H214" s="9">
        <f t="shared" si="37"/>
        <v>8.2000000000000001E-5</v>
      </c>
      <c r="I214" s="10">
        <f t="shared" si="38"/>
        <v>1.84082E-2</v>
      </c>
      <c r="J214" s="10">
        <f t="shared" si="39"/>
        <v>1.84082E-2</v>
      </c>
      <c r="K214" s="10" t="str">
        <f t="shared" si="40"/>
        <v/>
      </c>
      <c r="L214" s="9">
        <f t="shared" si="41"/>
        <v>3.9815917999999999</v>
      </c>
      <c r="M214" s="9">
        <f t="shared" si="42"/>
        <v>3.9815917999999999</v>
      </c>
      <c r="N214" s="9" t="str">
        <f t="shared" si="43"/>
        <v/>
      </c>
      <c r="O214" s="4" t="s">
        <v>755</v>
      </c>
      <c r="P214" s="1" t="s">
        <v>1684</v>
      </c>
      <c r="Q214" s="7" t="s">
        <v>1297</v>
      </c>
      <c r="R214" s="7" t="s">
        <v>1298</v>
      </c>
      <c r="S214" s="7" t="s">
        <v>1299</v>
      </c>
      <c r="T214" s="7" t="s">
        <v>1300</v>
      </c>
      <c r="U214" t="str">
        <f t="shared" si="44"/>
        <v/>
      </c>
      <c r="V214" t="str">
        <f t="shared" si="45"/>
        <v/>
      </c>
      <c r="W214" t="str">
        <f t="shared" si="46"/>
        <v/>
      </c>
      <c r="X214" t="str">
        <f t="shared" si="47"/>
        <v/>
      </c>
      <c r="Y214" t="e">
        <f>VLOOKUP($A214,Runs!$G:$G,1,FALSE)</f>
        <v>#N/A</v>
      </c>
    </row>
    <row r="215" spans="1:25" ht="22.5" customHeight="1" x14ac:dyDescent="0.25">
      <c r="A215" s="2" t="s">
        <v>359</v>
      </c>
      <c r="B215" s="2" t="s">
        <v>360</v>
      </c>
      <c r="C215" s="3">
        <v>1.7999999999999999E-2</v>
      </c>
      <c r="D215" s="6" t="s">
        <v>242</v>
      </c>
      <c r="E215">
        <f>(30-C215*100)*VLOOKUP($D215,Calc!$A$1:$C$6,3,FALSE)</f>
        <v>70.5</v>
      </c>
      <c r="F215" s="6">
        <f>VLOOKUP(D215,Calc!$A$1:$B$6,2,FALSE)</f>
        <v>3</v>
      </c>
      <c r="G215" s="10">
        <f t="shared" si="36"/>
        <v>1.83E-2</v>
      </c>
      <c r="H215" s="9">
        <f t="shared" si="37"/>
        <v>4.6999999999999997E-5</v>
      </c>
      <c r="I215" s="10">
        <f t="shared" si="38"/>
        <v>1.83047E-2</v>
      </c>
      <c r="J215" s="10">
        <f t="shared" si="39"/>
        <v>1.83047E-2</v>
      </c>
      <c r="K215" s="10" t="str">
        <f t="shared" si="40"/>
        <v/>
      </c>
      <c r="L215" s="9">
        <f t="shared" si="41"/>
        <v>2.9816953000000002</v>
      </c>
      <c r="M215" s="9">
        <f t="shared" si="42"/>
        <v>2.9816953000000002</v>
      </c>
      <c r="N215" s="9" t="str">
        <f t="shared" si="43"/>
        <v/>
      </c>
      <c r="O215" s="4" t="s">
        <v>755</v>
      </c>
      <c r="P215" s="1" t="s">
        <v>1695</v>
      </c>
      <c r="Q215" s="7" t="s">
        <v>1225</v>
      </c>
      <c r="R215" s="7" t="s">
        <v>1226</v>
      </c>
      <c r="S215" s="8" t="s">
        <v>1227</v>
      </c>
      <c r="T215" s="7"/>
      <c r="U215" t="str">
        <f t="shared" si="44"/>
        <v/>
      </c>
      <c r="V215" t="str">
        <f t="shared" si="45"/>
        <v/>
      </c>
      <c r="W215" t="str">
        <f t="shared" si="46"/>
        <v/>
      </c>
      <c r="X215" t="str">
        <f t="shared" si="47"/>
        <v/>
      </c>
      <c r="Y215" t="e">
        <f>VLOOKUP($A215,Runs!$G:$G,1,FALSE)</f>
        <v>#N/A</v>
      </c>
    </row>
    <row r="216" spans="1:25" ht="22.5" customHeight="1" x14ac:dyDescent="0.25">
      <c r="A216" s="2" t="s">
        <v>353</v>
      </c>
      <c r="B216" s="2" t="s">
        <v>354</v>
      </c>
      <c r="C216" s="3">
        <v>1.7999999999999999E-2</v>
      </c>
      <c r="D216" s="6" t="s">
        <v>242</v>
      </c>
      <c r="E216">
        <f>(30-C216*100)*VLOOKUP($D216,Calc!$A$1:$C$6,3,FALSE)</f>
        <v>70.5</v>
      </c>
      <c r="F216" s="6">
        <f>VLOOKUP(D216,Calc!$A$1:$B$6,2,FALSE)</f>
        <v>3</v>
      </c>
      <c r="G216" s="10">
        <f t="shared" si="36"/>
        <v>1.83E-2</v>
      </c>
      <c r="H216" s="9">
        <f t="shared" si="37"/>
        <v>5.7000000000000003E-5</v>
      </c>
      <c r="I216" s="10">
        <f t="shared" si="38"/>
        <v>1.8305700000000001E-2</v>
      </c>
      <c r="J216" s="10">
        <f t="shared" si="39"/>
        <v>1.8305700000000001E-2</v>
      </c>
      <c r="K216" s="10" t="str">
        <f t="shared" si="40"/>
        <v/>
      </c>
      <c r="L216" s="9">
        <f t="shared" si="41"/>
        <v>2.9816943</v>
      </c>
      <c r="M216" s="9">
        <f t="shared" si="42"/>
        <v>2.9816943</v>
      </c>
      <c r="N216" s="9" t="str">
        <f t="shared" si="43"/>
        <v/>
      </c>
      <c r="O216" s="4" t="s">
        <v>755</v>
      </c>
      <c r="P216" s="1" t="s">
        <v>1758</v>
      </c>
      <c r="Q216" s="7" t="s">
        <v>896</v>
      </c>
      <c r="R216" s="8" t="s">
        <v>1218</v>
      </c>
      <c r="S216" s="7"/>
      <c r="T216" s="7"/>
      <c r="U216" t="str">
        <f t="shared" si="44"/>
        <v/>
      </c>
      <c r="V216" t="str">
        <f t="shared" si="45"/>
        <v/>
      </c>
      <c r="W216" t="str">
        <f t="shared" si="46"/>
        <v/>
      </c>
      <c r="X216" t="str">
        <f t="shared" si="47"/>
        <v/>
      </c>
      <c r="Y216" t="str">
        <f>VLOOKUP($A216,Runs!$G:$G,1,FALSE)</f>
        <v>The Iron Price</v>
      </c>
    </row>
    <row r="217" spans="1:25" ht="22.5" customHeight="1" x14ac:dyDescent="0.25">
      <c r="A217" s="2" t="s">
        <v>36</v>
      </c>
      <c r="B217" s="2" t="s">
        <v>37</v>
      </c>
      <c r="C217" s="3">
        <v>1.7999999999999999E-2</v>
      </c>
      <c r="D217" s="6" t="s">
        <v>2</v>
      </c>
      <c r="E217">
        <f>(30-C217*100)*VLOOKUP($D217,Calc!$A$1:$C$6,3,FALSE)</f>
        <v>14.1</v>
      </c>
      <c r="F217" s="6">
        <f>VLOOKUP(D217,Calc!$A$1:$B$6,2,FALSE)</f>
        <v>1</v>
      </c>
      <c r="G217" s="10">
        <f t="shared" si="36"/>
        <v>1.8099999999999998E-2</v>
      </c>
      <c r="H217" s="9">
        <f t="shared" si="37"/>
        <v>7.6000000000000004E-5</v>
      </c>
      <c r="I217" s="10">
        <f t="shared" si="38"/>
        <v>1.8107599999999998E-2</v>
      </c>
      <c r="J217" s="10">
        <f t="shared" si="39"/>
        <v>1.8107599999999998E-2</v>
      </c>
      <c r="K217" s="10" t="str">
        <f t="shared" si="40"/>
        <v/>
      </c>
      <c r="L217" s="9">
        <f t="shared" si="41"/>
        <v>0.9818924</v>
      </c>
      <c r="M217" s="9">
        <f t="shared" si="42"/>
        <v>0.9818924</v>
      </c>
      <c r="N217" s="9" t="str">
        <f t="shared" si="43"/>
        <v/>
      </c>
      <c r="O217" s="4" t="s">
        <v>755</v>
      </c>
      <c r="P217" s="1" t="s">
        <v>1900</v>
      </c>
      <c r="Q217" s="7"/>
      <c r="R217" s="7" t="s">
        <v>818</v>
      </c>
      <c r="S217" s="8" t="s">
        <v>819</v>
      </c>
      <c r="T217" s="7"/>
      <c r="U217" t="str">
        <f t="shared" si="44"/>
        <v/>
      </c>
      <c r="V217" t="str">
        <f t="shared" si="45"/>
        <v/>
      </c>
      <c r="W217" t="str">
        <f t="shared" si="46"/>
        <v/>
      </c>
      <c r="X217" t="str">
        <f t="shared" si="47"/>
        <v/>
      </c>
      <c r="Y217" t="str">
        <f>VLOOKUP($A217,Runs!$G:$G,1,FALSE)</f>
        <v>Krabater</v>
      </c>
    </row>
    <row r="218" spans="1:25" ht="22.5" customHeight="1" x14ac:dyDescent="0.25">
      <c r="A218" s="2" t="s">
        <v>146</v>
      </c>
      <c r="B218" s="2" t="s">
        <v>676</v>
      </c>
      <c r="C218" s="3">
        <v>1.9E-2</v>
      </c>
      <c r="D218" s="6" t="s">
        <v>105</v>
      </c>
      <c r="E218">
        <f>(30-C218*100)*VLOOKUP($D218,Calc!$A$1:$C$6,3,FALSE)</f>
        <v>28.1</v>
      </c>
      <c r="F218" s="6">
        <f>VLOOKUP(D218,Calc!$A$1:$B$6,2,FALSE)</f>
        <v>2</v>
      </c>
      <c r="G218" s="10">
        <f t="shared" si="36"/>
        <v>1.9199999999999998E-2</v>
      </c>
      <c r="H218" s="9">
        <f t="shared" si="37"/>
        <v>2.0000000000000002E-5</v>
      </c>
      <c r="I218" s="10">
        <f t="shared" si="38"/>
        <v>1.9201999999999997E-2</v>
      </c>
      <c r="J218" s="10">
        <f t="shared" si="39"/>
        <v>1.9201999999999997E-2</v>
      </c>
      <c r="K218" s="10" t="str">
        <f t="shared" si="40"/>
        <v/>
      </c>
      <c r="L218" s="9">
        <f t="shared" si="41"/>
        <v>1.9807980000000001</v>
      </c>
      <c r="M218" s="9">
        <f t="shared" si="42"/>
        <v>1.9807980000000001</v>
      </c>
      <c r="N218" s="9" t="str">
        <f t="shared" si="43"/>
        <v/>
      </c>
      <c r="O218" s="4" t="s">
        <v>755</v>
      </c>
      <c r="P218" s="1" t="s">
        <v>760</v>
      </c>
      <c r="Q218" s="7"/>
      <c r="R218" s="7" t="s">
        <v>940</v>
      </c>
      <c r="S218" s="7" t="s">
        <v>941</v>
      </c>
      <c r="T218" s="7" t="s">
        <v>770</v>
      </c>
      <c r="U218" t="str">
        <f t="shared" si="44"/>
        <v/>
      </c>
      <c r="V218" t="str">
        <f t="shared" si="45"/>
        <v/>
      </c>
      <c r="W218" t="str">
        <f t="shared" si="46"/>
        <v/>
      </c>
      <c r="X218" t="str">
        <f t="shared" si="47"/>
        <v/>
      </c>
      <c r="Y218" t="e">
        <f>VLOOKUP($A218,Runs!$G:$G,1,FALSE)</f>
        <v>#N/A</v>
      </c>
    </row>
    <row r="219" spans="1:25" ht="22.5" customHeight="1" x14ac:dyDescent="0.25">
      <c r="A219" s="2" t="s">
        <v>560</v>
      </c>
      <c r="B219" s="2" t="s">
        <v>740</v>
      </c>
      <c r="C219" s="3">
        <v>1.9E-2</v>
      </c>
      <c r="D219" s="6" t="s">
        <v>434</v>
      </c>
      <c r="E219">
        <f>(30-C219*100)*VLOOKUP($D219,Calc!$A$1:$C$6,3,FALSE)</f>
        <v>140.5</v>
      </c>
      <c r="F219" s="6">
        <f>VLOOKUP(D219,Calc!$A$1:$B$6,2,FALSE)</f>
        <v>4</v>
      </c>
      <c r="G219" s="10">
        <f t="shared" si="36"/>
        <v>1.9400000000000001E-2</v>
      </c>
      <c r="H219" s="9">
        <f t="shared" si="37"/>
        <v>2.0000000000000002E-5</v>
      </c>
      <c r="I219" s="10">
        <f t="shared" si="38"/>
        <v>1.9401999999999999E-2</v>
      </c>
      <c r="J219" s="10">
        <f t="shared" si="39"/>
        <v>1.9401999999999999E-2</v>
      </c>
      <c r="K219" s="10" t="str">
        <f t="shared" si="40"/>
        <v/>
      </c>
      <c r="L219" s="9">
        <f t="shared" si="41"/>
        <v>3.9805980000000001</v>
      </c>
      <c r="M219" s="9">
        <f t="shared" si="42"/>
        <v>3.9805980000000001</v>
      </c>
      <c r="N219" s="9" t="str">
        <f t="shared" si="43"/>
        <v/>
      </c>
      <c r="O219" s="4" t="s">
        <v>755</v>
      </c>
      <c r="P219" s="1" t="s">
        <v>1675</v>
      </c>
      <c r="Q219" s="7"/>
      <c r="R219" s="7" t="s">
        <v>1566</v>
      </c>
      <c r="S219" s="8" t="s">
        <v>1567</v>
      </c>
      <c r="T219" s="7"/>
      <c r="U219" t="str">
        <f t="shared" si="44"/>
        <v/>
      </c>
      <c r="V219" t="str">
        <f t="shared" si="45"/>
        <v/>
      </c>
      <c r="W219" t="str">
        <f t="shared" si="46"/>
        <v/>
      </c>
      <c r="X219" t="str">
        <f t="shared" si="47"/>
        <v/>
      </c>
      <c r="Y219" t="e">
        <f>VLOOKUP($A219,Runs!$G:$G,1,FALSE)</f>
        <v>#N/A</v>
      </c>
    </row>
    <row r="220" spans="1:25" ht="22.5" customHeight="1" x14ac:dyDescent="0.25">
      <c r="A220" s="2" t="s">
        <v>505</v>
      </c>
      <c r="B220" s="2" t="s">
        <v>707</v>
      </c>
      <c r="C220" s="3">
        <v>1.9E-2</v>
      </c>
      <c r="D220" s="6" t="s">
        <v>434</v>
      </c>
      <c r="E220">
        <f>(30-C220*100)*VLOOKUP($D220,Calc!$A$1:$C$6,3,FALSE)</f>
        <v>140.5</v>
      </c>
      <c r="F220" s="6">
        <f>VLOOKUP(D220,Calc!$A$1:$B$6,2,FALSE)</f>
        <v>4</v>
      </c>
      <c r="G220" s="10">
        <f t="shared" si="36"/>
        <v>1.9400000000000001E-2</v>
      </c>
      <c r="H220" s="9">
        <f t="shared" si="37"/>
        <v>6.8999999999999997E-5</v>
      </c>
      <c r="I220" s="10">
        <f t="shared" si="38"/>
        <v>1.9406900000000001E-2</v>
      </c>
      <c r="J220" s="10">
        <f t="shared" si="39"/>
        <v>1.9406900000000001E-2</v>
      </c>
      <c r="K220" s="10" t="str">
        <f t="shared" si="40"/>
        <v/>
      </c>
      <c r="L220" s="9">
        <f t="shared" si="41"/>
        <v>3.9805931000000001</v>
      </c>
      <c r="M220" s="9">
        <f t="shared" si="42"/>
        <v>3.9805931000000001</v>
      </c>
      <c r="N220" s="9" t="str">
        <f t="shared" si="43"/>
        <v/>
      </c>
      <c r="O220" s="4" t="s">
        <v>755</v>
      </c>
      <c r="P220" s="1" t="s">
        <v>1826</v>
      </c>
      <c r="Q220" s="7" t="s">
        <v>1395</v>
      </c>
      <c r="R220" s="7" t="s">
        <v>1396</v>
      </c>
      <c r="S220" s="8" t="s">
        <v>1397</v>
      </c>
      <c r="T220" s="7"/>
      <c r="U220" t="str">
        <f t="shared" si="44"/>
        <v/>
      </c>
      <c r="V220" t="str">
        <f t="shared" si="45"/>
        <v/>
      </c>
      <c r="W220" t="str">
        <f t="shared" si="46"/>
        <v/>
      </c>
      <c r="X220" t="str">
        <f t="shared" si="47"/>
        <v/>
      </c>
      <c r="Y220" t="str">
        <f>VLOOKUP($A220,Runs!$G:$G,1,FALSE)</f>
        <v>Prester John</v>
      </c>
    </row>
    <row r="221" spans="1:25" ht="22.5" customHeight="1" x14ac:dyDescent="0.25">
      <c r="A221" s="2" t="s">
        <v>460</v>
      </c>
      <c r="B221" s="2" t="s">
        <v>646</v>
      </c>
      <c r="C221" s="3">
        <v>1.9E-2</v>
      </c>
      <c r="D221" s="6" t="s">
        <v>434</v>
      </c>
      <c r="E221">
        <f>(30-C221*100)*VLOOKUP($D221,Calc!$A$1:$C$6,3,FALSE)</f>
        <v>140.5</v>
      </c>
      <c r="F221" s="6">
        <f>VLOOKUP(D221,Calc!$A$1:$B$6,2,FALSE)</f>
        <v>4</v>
      </c>
      <c r="G221" s="10">
        <f t="shared" si="36"/>
        <v>1.9400000000000001E-2</v>
      </c>
      <c r="H221" s="9">
        <f t="shared" si="37"/>
        <v>1.8E-5</v>
      </c>
      <c r="I221" s="10">
        <f t="shared" si="38"/>
        <v>1.94018E-2</v>
      </c>
      <c r="J221" s="10">
        <f t="shared" si="39"/>
        <v>1.94018E-2</v>
      </c>
      <c r="K221" s="10" t="str">
        <f t="shared" si="40"/>
        <v/>
      </c>
      <c r="L221" s="9">
        <f t="shared" si="41"/>
        <v>3.9805982000000002</v>
      </c>
      <c r="M221" s="9">
        <f t="shared" si="42"/>
        <v>3.9805982000000002</v>
      </c>
      <c r="N221" s="9" t="str">
        <f t="shared" si="43"/>
        <v/>
      </c>
      <c r="O221" s="4" t="s">
        <v>755</v>
      </c>
      <c r="P221" s="1" t="s">
        <v>1875</v>
      </c>
      <c r="Q221" s="7" t="s">
        <v>1312</v>
      </c>
      <c r="R221" s="7" t="s">
        <v>1313</v>
      </c>
      <c r="S221" s="8" t="s">
        <v>1314</v>
      </c>
      <c r="T221" s="7"/>
      <c r="U221" t="str">
        <f t="shared" si="44"/>
        <v/>
      </c>
      <c r="V221" t="str">
        <f t="shared" si="45"/>
        <v/>
      </c>
      <c r="W221" t="str">
        <f t="shared" si="46"/>
        <v/>
      </c>
      <c r="X221" t="str">
        <f t="shared" si="47"/>
        <v/>
      </c>
      <c r="Y221" t="str">
        <f>VLOOKUP($A221,Runs!$G:$G,1,FALSE)</f>
        <v>Baltic Crusader</v>
      </c>
    </row>
    <row r="222" spans="1:25" ht="22.5" customHeight="1" x14ac:dyDescent="0.25">
      <c r="A222" s="2" t="s">
        <v>411</v>
      </c>
      <c r="B222" s="2" t="s">
        <v>716</v>
      </c>
      <c r="C222" s="3">
        <v>0.02</v>
      </c>
      <c r="D222" s="6" t="s">
        <v>242</v>
      </c>
      <c r="E222">
        <f>(30-C222*100)*VLOOKUP($D222,Calc!$A$1:$C$6,3,FALSE)</f>
        <v>70</v>
      </c>
      <c r="F222" s="6">
        <f>VLOOKUP(D222,Calc!$A$1:$B$6,2,FALSE)</f>
        <v>3</v>
      </c>
      <c r="G222" s="10">
        <f t="shared" si="36"/>
        <v>2.0300000000000002E-2</v>
      </c>
      <c r="H222" s="9">
        <f t="shared" si="37"/>
        <v>3.6000000000000001E-5</v>
      </c>
      <c r="I222" s="10">
        <f t="shared" si="38"/>
        <v>2.0303600000000002E-2</v>
      </c>
      <c r="J222" s="10" t="str">
        <f t="shared" si="39"/>
        <v/>
      </c>
      <c r="K222" s="10">
        <f t="shared" si="40"/>
        <v>2.0303600000000002E-2</v>
      </c>
      <c r="L222" s="9">
        <f t="shared" si="41"/>
        <v>2.9796963999999999</v>
      </c>
      <c r="M222" s="9" t="str">
        <f t="shared" si="42"/>
        <v/>
      </c>
      <c r="N222" s="9">
        <f t="shared" si="43"/>
        <v>2.9796963999999999</v>
      </c>
      <c r="O222" s="4"/>
      <c r="Q222" s="7" t="s">
        <v>1022</v>
      </c>
      <c r="R222" s="7" t="s">
        <v>1410</v>
      </c>
      <c r="S222" s="8" t="s">
        <v>1411</v>
      </c>
      <c r="T222" s="7"/>
      <c r="U222" t="str">
        <f t="shared" si="44"/>
        <v/>
      </c>
      <c r="V222">
        <f t="shared" si="45"/>
        <v>2.0303600000000002E-2</v>
      </c>
      <c r="W222" t="str">
        <f t="shared" si="46"/>
        <v/>
      </c>
      <c r="X222" t="str">
        <f t="shared" si="47"/>
        <v/>
      </c>
      <c r="Y222" t="e">
        <f>VLOOKUP($A222,Runs!$G:$G,1,FALSE)</f>
        <v>#N/A</v>
      </c>
    </row>
    <row r="223" spans="1:25" ht="22.5" customHeight="1" x14ac:dyDescent="0.25">
      <c r="A223" s="2" t="s">
        <v>333</v>
      </c>
      <c r="B223" s="2" t="s">
        <v>714</v>
      </c>
      <c r="C223" s="3">
        <v>0.02</v>
      </c>
      <c r="D223" s="6" t="s">
        <v>242</v>
      </c>
      <c r="E223">
        <f>(30-C223*100)*VLOOKUP($D223,Calc!$A$1:$C$6,3,FALSE)</f>
        <v>70</v>
      </c>
      <c r="F223" s="6">
        <f>VLOOKUP(D223,Calc!$A$1:$B$6,2,FALSE)</f>
        <v>3</v>
      </c>
      <c r="G223" s="10">
        <f t="shared" si="36"/>
        <v>2.0300000000000002E-2</v>
      </c>
      <c r="H223" s="9">
        <f t="shared" si="37"/>
        <v>8.0000000000000007E-5</v>
      </c>
      <c r="I223" s="10">
        <f t="shared" si="38"/>
        <v>2.0308000000000003E-2</v>
      </c>
      <c r="J223" s="10">
        <f t="shared" si="39"/>
        <v>2.0308000000000003E-2</v>
      </c>
      <c r="K223" s="10" t="str">
        <f t="shared" si="40"/>
        <v/>
      </c>
      <c r="L223" s="9">
        <f t="shared" si="41"/>
        <v>2.979692</v>
      </c>
      <c r="M223" s="9">
        <f t="shared" si="42"/>
        <v>2.979692</v>
      </c>
      <c r="N223" s="9" t="str">
        <f t="shared" si="43"/>
        <v/>
      </c>
      <c r="O223" s="4" t="s">
        <v>755</v>
      </c>
      <c r="P223" s="1" t="s">
        <v>757</v>
      </c>
      <c r="Q223" s="7"/>
      <c r="R223" s="7" t="s">
        <v>1189</v>
      </c>
      <c r="S223" s="8" t="s">
        <v>1190</v>
      </c>
      <c r="T223" s="7"/>
      <c r="U223" t="str">
        <f t="shared" si="44"/>
        <v/>
      </c>
      <c r="V223" t="str">
        <f t="shared" si="45"/>
        <v/>
      </c>
      <c r="W223" t="str">
        <f t="shared" si="46"/>
        <v/>
      </c>
      <c r="X223" t="str">
        <f t="shared" si="47"/>
        <v/>
      </c>
      <c r="Y223" t="e">
        <f>VLOOKUP($A223,Runs!$G:$G,1,FALSE)</f>
        <v>#N/A</v>
      </c>
    </row>
    <row r="224" spans="1:25" ht="22.5" customHeight="1" x14ac:dyDescent="0.25">
      <c r="A224" s="2" t="s">
        <v>330</v>
      </c>
      <c r="B224" s="2" t="s">
        <v>331</v>
      </c>
      <c r="C224" s="3">
        <v>0.02</v>
      </c>
      <c r="D224" s="6" t="s">
        <v>242</v>
      </c>
      <c r="E224">
        <f>(30-C224*100)*VLOOKUP($D224,Calc!$A$1:$C$6,3,FALSE)</f>
        <v>70</v>
      </c>
      <c r="F224" s="6">
        <f>VLOOKUP(D224,Calc!$A$1:$B$6,2,FALSE)</f>
        <v>3</v>
      </c>
      <c r="G224" s="10">
        <f t="shared" si="36"/>
        <v>2.0300000000000002E-2</v>
      </c>
      <c r="H224" s="9">
        <f t="shared" si="37"/>
        <v>6.8999999999999997E-5</v>
      </c>
      <c r="I224" s="10">
        <f t="shared" si="38"/>
        <v>2.0306900000000003E-2</v>
      </c>
      <c r="J224" s="10">
        <f t="shared" si="39"/>
        <v>2.0306900000000003E-2</v>
      </c>
      <c r="K224" s="10" t="str">
        <f t="shared" si="40"/>
        <v/>
      </c>
      <c r="L224" s="9">
        <f t="shared" si="41"/>
        <v>2.9796931</v>
      </c>
      <c r="M224" s="9">
        <f t="shared" si="42"/>
        <v>2.9796931</v>
      </c>
      <c r="N224" s="9" t="str">
        <f t="shared" si="43"/>
        <v/>
      </c>
      <c r="O224" s="4" t="s">
        <v>755</v>
      </c>
      <c r="P224" s="1" t="s">
        <v>756</v>
      </c>
      <c r="Q224" s="7" t="s">
        <v>1175</v>
      </c>
      <c r="R224" s="7" t="s">
        <v>1176</v>
      </c>
      <c r="S224" s="8" t="s">
        <v>1177</v>
      </c>
      <c r="T224" s="7"/>
      <c r="U224" t="str">
        <f t="shared" si="44"/>
        <v/>
      </c>
      <c r="V224" t="str">
        <f t="shared" si="45"/>
        <v/>
      </c>
      <c r="W224" t="str">
        <f t="shared" si="46"/>
        <v/>
      </c>
      <c r="X224" t="str">
        <f t="shared" si="47"/>
        <v/>
      </c>
      <c r="Y224" t="e">
        <f>VLOOKUP($A224,Runs!$G:$G,1,FALSE)</f>
        <v>#N/A</v>
      </c>
    </row>
    <row r="225" spans="1:25" ht="22.5" customHeight="1" x14ac:dyDescent="0.25">
      <c r="A225" s="2" t="s">
        <v>402</v>
      </c>
      <c r="B225" s="2" t="s">
        <v>403</v>
      </c>
      <c r="C225" s="3">
        <v>0.02</v>
      </c>
      <c r="D225" s="6" t="s">
        <v>242</v>
      </c>
      <c r="E225">
        <f>(30-C225*100)*VLOOKUP($D225,Calc!$A$1:$C$6,3,FALSE)</f>
        <v>70</v>
      </c>
      <c r="F225" s="6">
        <f>VLOOKUP(D225,Calc!$A$1:$B$6,2,FALSE)</f>
        <v>3</v>
      </c>
      <c r="G225" s="10">
        <f t="shared" si="36"/>
        <v>2.0300000000000002E-2</v>
      </c>
      <c r="H225" s="9">
        <f t="shared" si="37"/>
        <v>1.05E-4</v>
      </c>
      <c r="I225" s="10">
        <f t="shared" si="38"/>
        <v>2.0310500000000002E-2</v>
      </c>
      <c r="J225" s="10">
        <f t="shared" si="39"/>
        <v>2.0310500000000002E-2</v>
      </c>
      <c r="K225" s="10" t="str">
        <f t="shared" si="40"/>
        <v/>
      </c>
      <c r="L225" s="9">
        <f t="shared" si="41"/>
        <v>2.9796895000000001</v>
      </c>
      <c r="M225" s="9">
        <f t="shared" si="42"/>
        <v>2.9796895000000001</v>
      </c>
      <c r="N225" s="9" t="str">
        <f t="shared" si="43"/>
        <v/>
      </c>
      <c r="O225" s="4" t="s">
        <v>755</v>
      </c>
      <c r="P225" s="1" t="s">
        <v>1685</v>
      </c>
      <c r="Q225" s="7" t="s">
        <v>1279</v>
      </c>
      <c r="R225" s="7" t="s">
        <v>1319</v>
      </c>
      <c r="S225" s="8" t="s">
        <v>1320</v>
      </c>
      <c r="T225" s="7"/>
      <c r="U225" t="str">
        <f t="shared" si="44"/>
        <v/>
      </c>
      <c r="V225" t="str">
        <f t="shared" si="45"/>
        <v/>
      </c>
      <c r="W225" t="str">
        <f t="shared" si="46"/>
        <v/>
      </c>
      <c r="X225" t="str">
        <f t="shared" si="47"/>
        <v/>
      </c>
      <c r="Y225" t="e">
        <f>VLOOKUP($A225,Runs!$G:$G,1,FALSE)</f>
        <v>#N/A</v>
      </c>
    </row>
    <row r="226" spans="1:25" ht="22.5" customHeight="1" x14ac:dyDescent="0.25">
      <c r="A226" s="2" t="s">
        <v>486</v>
      </c>
      <c r="B226" s="2" t="s">
        <v>487</v>
      </c>
      <c r="C226" s="3">
        <v>2.1000000000000001E-2</v>
      </c>
      <c r="D226" s="6" t="s">
        <v>434</v>
      </c>
      <c r="E226">
        <f>(30-C226*100)*VLOOKUP($D226,Calc!$A$1:$C$6,3,FALSE)</f>
        <v>139.5</v>
      </c>
      <c r="F226" s="6">
        <f>VLOOKUP(D226,Calc!$A$1:$B$6,2,FALSE)</f>
        <v>4</v>
      </c>
      <c r="G226" s="10">
        <f t="shared" si="36"/>
        <v>2.1400000000000002E-2</v>
      </c>
      <c r="H226" s="9">
        <f t="shared" si="37"/>
        <v>3.9999999999999998E-6</v>
      </c>
      <c r="I226" s="10">
        <f t="shared" si="38"/>
        <v>2.1400400000000003E-2</v>
      </c>
      <c r="J226" s="10">
        <f t="shared" si="39"/>
        <v>2.1400400000000003E-2</v>
      </c>
      <c r="K226" s="10" t="str">
        <f t="shared" si="40"/>
        <v/>
      </c>
      <c r="L226" s="9">
        <f t="shared" si="41"/>
        <v>3.9785995999999999</v>
      </c>
      <c r="M226" s="9">
        <f t="shared" si="42"/>
        <v>3.9785995999999999</v>
      </c>
      <c r="N226" s="9" t="str">
        <f t="shared" si="43"/>
        <v/>
      </c>
      <c r="O226" s="4" t="s">
        <v>755</v>
      </c>
      <c r="P226" s="1" t="s">
        <v>2003</v>
      </c>
      <c r="Q226" s="7" t="s">
        <v>1364</v>
      </c>
      <c r="R226" s="7" t="s">
        <v>1365</v>
      </c>
      <c r="S226" s="8" t="s">
        <v>1366</v>
      </c>
      <c r="T226" s="7"/>
      <c r="U226" t="str">
        <f t="shared" si="44"/>
        <v/>
      </c>
      <c r="V226" t="str">
        <f t="shared" si="45"/>
        <v/>
      </c>
      <c r="W226" t="str">
        <f t="shared" si="46"/>
        <v/>
      </c>
      <c r="X226" t="str">
        <f t="shared" si="47"/>
        <v/>
      </c>
      <c r="Y226" t="str">
        <f>VLOOKUP($A226,Runs!$G:$G,1,FALSE)</f>
        <v>Luck of the Irish</v>
      </c>
    </row>
    <row r="227" spans="1:25" ht="22.5" customHeight="1" x14ac:dyDescent="0.25">
      <c r="A227" s="2" t="s">
        <v>441</v>
      </c>
      <c r="B227" s="2" t="s">
        <v>442</v>
      </c>
      <c r="C227" s="3">
        <v>2.1000000000000001E-2</v>
      </c>
      <c r="D227" s="6" t="s">
        <v>434</v>
      </c>
      <c r="E227">
        <f>(30-C227*100)*VLOOKUP($D227,Calc!$A$1:$C$6,3,FALSE)</f>
        <v>139.5</v>
      </c>
      <c r="F227" s="6">
        <f>VLOOKUP(D227,Calc!$A$1:$B$6,2,FALSE)</f>
        <v>4</v>
      </c>
      <c r="G227" s="10">
        <f t="shared" si="36"/>
        <v>2.1400000000000002E-2</v>
      </c>
      <c r="H227" s="9">
        <f t="shared" si="37"/>
        <v>6.3999999999999997E-5</v>
      </c>
      <c r="I227" s="10">
        <f t="shared" si="38"/>
        <v>2.1406400000000003E-2</v>
      </c>
      <c r="J227" s="10">
        <f t="shared" si="39"/>
        <v>2.1406400000000003E-2</v>
      </c>
      <c r="K227" s="10" t="str">
        <f t="shared" si="40"/>
        <v/>
      </c>
      <c r="L227" s="9">
        <f t="shared" si="41"/>
        <v>3.9785936</v>
      </c>
      <c r="M227" s="9">
        <f t="shared" si="42"/>
        <v>3.9785936</v>
      </c>
      <c r="N227" s="9" t="str">
        <f t="shared" si="43"/>
        <v/>
      </c>
      <c r="O227" s="4" t="s">
        <v>755</v>
      </c>
      <c r="P227" s="1" t="s">
        <v>1663</v>
      </c>
      <c r="Q227" s="7" t="s">
        <v>1105</v>
      </c>
      <c r="R227" s="8" t="s">
        <v>1106</v>
      </c>
      <c r="S227" s="7"/>
      <c r="T227" s="7"/>
      <c r="U227" t="str">
        <f t="shared" si="44"/>
        <v/>
      </c>
      <c r="V227" t="str">
        <f t="shared" si="45"/>
        <v/>
      </c>
      <c r="W227" t="str">
        <f t="shared" si="46"/>
        <v/>
      </c>
      <c r="X227" t="str">
        <f t="shared" si="47"/>
        <v/>
      </c>
      <c r="Y227" t="e">
        <f>VLOOKUP($A227,Runs!$G:$G,1,FALSE)</f>
        <v>#N/A</v>
      </c>
    </row>
    <row r="228" spans="1:25" ht="22.5" customHeight="1" x14ac:dyDescent="0.25">
      <c r="A228" s="2" t="s">
        <v>538</v>
      </c>
      <c r="B228" s="2" t="s">
        <v>539</v>
      </c>
      <c r="C228" s="3">
        <v>2.1000000000000001E-2</v>
      </c>
      <c r="D228" s="6" t="s">
        <v>434</v>
      </c>
      <c r="E228">
        <f>(30-C228*100)*VLOOKUP($D228,Calc!$A$1:$C$6,3,FALSE)</f>
        <v>139.5</v>
      </c>
      <c r="F228" s="6">
        <f>VLOOKUP(D228,Calc!$A$1:$B$6,2,FALSE)</f>
        <v>4</v>
      </c>
      <c r="G228" s="10">
        <f t="shared" si="36"/>
        <v>2.1400000000000002E-2</v>
      </c>
      <c r="H228" s="9">
        <f t="shared" si="37"/>
        <v>2.5999999999999998E-5</v>
      </c>
      <c r="I228" s="10">
        <f t="shared" si="38"/>
        <v>2.1402600000000001E-2</v>
      </c>
      <c r="J228" s="10">
        <f t="shared" si="39"/>
        <v>2.1402600000000001E-2</v>
      </c>
      <c r="K228" s="10" t="str">
        <f t="shared" si="40"/>
        <v/>
      </c>
      <c r="L228" s="9">
        <f t="shared" si="41"/>
        <v>3.9785974</v>
      </c>
      <c r="M228" s="9">
        <f t="shared" si="42"/>
        <v>3.9785974</v>
      </c>
      <c r="N228" s="9" t="str">
        <f t="shared" si="43"/>
        <v/>
      </c>
      <c r="O228" s="4" t="s">
        <v>755</v>
      </c>
      <c r="P228" s="1" t="s">
        <v>1676</v>
      </c>
      <c r="Q228" s="7" t="s">
        <v>884</v>
      </c>
      <c r="R228" s="7" t="s">
        <v>1483</v>
      </c>
      <c r="S228" s="8" t="s">
        <v>1484</v>
      </c>
      <c r="T228" s="7"/>
      <c r="U228" t="str">
        <f t="shared" si="44"/>
        <v/>
      </c>
      <c r="V228" t="str">
        <f t="shared" si="45"/>
        <v/>
      </c>
      <c r="W228" t="str">
        <f t="shared" si="46"/>
        <v/>
      </c>
      <c r="X228" t="str">
        <f t="shared" si="47"/>
        <v/>
      </c>
      <c r="Y228" t="e">
        <f>VLOOKUP($A228,Runs!$G:$G,1,FALSE)</f>
        <v>#N/A</v>
      </c>
    </row>
    <row r="229" spans="1:25" ht="22.5" customHeight="1" x14ac:dyDescent="0.25">
      <c r="A229" s="2" t="s">
        <v>93</v>
      </c>
      <c r="B229" s="2" t="s">
        <v>94</v>
      </c>
      <c r="C229" s="3">
        <v>2.1000000000000001E-2</v>
      </c>
      <c r="D229" s="6" t="s">
        <v>2</v>
      </c>
      <c r="E229">
        <f>(30-C229*100)*VLOOKUP($D229,Calc!$A$1:$C$6,3,FALSE)</f>
        <v>13.95</v>
      </c>
      <c r="F229" s="6">
        <f>VLOOKUP(D229,Calc!$A$1:$B$6,2,FALSE)</f>
        <v>1</v>
      </c>
      <c r="G229" s="10">
        <f t="shared" si="36"/>
        <v>2.1100000000000001E-2</v>
      </c>
      <c r="H229" s="9">
        <f t="shared" si="37"/>
        <v>7.1000000000000005E-5</v>
      </c>
      <c r="I229" s="10">
        <f t="shared" si="38"/>
        <v>2.11071E-2</v>
      </c>
      <c r="J229" s="10">
        <f t="shared" si="39"/>
        <v>2.11071E-2</v>
      </c>
      <c r="K229" s="10" t="str">
        <f t="shared" si="40"/>
        <v/>
      </c>
      <c r="L229" s="9">
        <f t="shared" si="41"/>
        <v>0.97889289999999995</v>
      </c>
      <c r="M229" s="9">
        <f t="shared" si="42"/>
        <v>0.97889289999999995</v>
      </c>
      <c r="N229" s="9" t="str">
        <f t="shared" si="43"/>
        <v/>
      </c>
      <c r="O229" s="4" t="s">
        <v>755</v>
      </c>
      <c r="P229" s="1" t="s">
        <v>1663</v>
      </c>
      <c r="Q229" s="7" t="s">
        <v>829</v>
      </c>
      <c r="R229" s="7" t="s">
        <v>1038</v>
      </c>
      <c r="S229" s="8" t="s">
        <v>1039</v>
      </c>
      <c r="T229" s="7"/>
      <c r="U229" t="str">
        <f t="shared" si="44"/>
        <v/>
      </c>
      <c r="V229" t="str">
        <f t="shared" si="45"/>
        <v/>
      </c>
      <c r="W229" t="str">
        <f t="shared" si="46"/>
        <v/>
      </c>
      <c r="X229" t="str">
        <f t="shared" si="47"/>
        <v/>
      </c>
      <c r="Y229" t="e">
        <f>VLOOKUP($A229,Runs!$G:$G,1,FALSE)</f>
        <v>#N/A</v>
      </c>
    </row>
    <row r="230" spans="1:25" ht="22.5" customHeight="1" x14ac:dyDescent="0.25">
      <c r="A230" s="2" t="s">
        <v>616</v>
      </c>
      <c r="B230" s="2" t="s">
        <v>617</v>
      </c>
      <c r="C230" s="3">
        <v>2.1000000000000001E-2</v>
      </c>
      <c r="D230" s="6" t="s">
        <v>573</v>
      </c>
      <c r="E230">
        <f>(30-C230*100)*VLOOKUP($D230,Calc!$A$1:$C$6,3,FALSE)</f>
        <v>279</v>
      </c>
      <c r="F230" s="6">
        <f>VLOOKUP(D230,Calc!$A$1:$B$6,2,FALSE)</f>
        <v>5</v>
      </c>
      <c r="G230" s="10">
        <f t="shared" si="36"/>
        <v>2.1500000000000002E-2</v>
      </c>
      <c r="H230" s="9">
        <f t="shared" si="37"/>
        <v>5.8E-5</v>
      </c>
      <c r="I230" s="10">
        <f t="shared" si="38"/>
        <v>2.1505800000000002E-2</v>
      </c>
      <c r="J230" s="10">
        <f t="shared" si="39"/>
        <v>2.1505800000000002E-2</v>
      </c>
      <c r="K230" s="10" t="str">
        <f t="shared" si="40"/>
        <v/>
      </c>
      <c r="L230" s="9">
        <f t="shared" si="41"/>
        <v>4.9784942000000001</v>
      </c>
      <c r="M230" s="9">
        <f t="shared" si="42"/>
        <v>4.9784942000000001</v>
      </c>
      <c r="N230" s="9" t="str">
        <f t="shared" si="43"/>
        <v/>
      </c>
      <c r="O230" s="4" t="s">
        <v>755</v>
      </c>
      <c r="P230" s="1" t="s">
        <v>1693</v>
      </c>
      <c r="Q230" s="7" t="s">
        <v>881</v>
      </c>
      <c r="R230" s="7" t="s">
        <v>1573</v>
      </c>
      <c r="S230" s="8" t="s">
        <v>1574</v>
      </c>
      <c r="T230" s="7"/>
      <c r="U230" t="str">
        <f t="shared" si="44"/>
        <v/>
      </c>
      <c r="V230" t="str">
        <f t="shared" si="45"/>
        <v/>
      </c>
      <c r="W230" t="str">
        <f t="shared" si="46"/>
        <v/>
      </c>
      <c r="X230" t="str">
        <f t="shared" si="47"/>
        <v/>
      </c>
      <c r="Y230" t="e">
        <f>VLOOKUP($A230,Runs!$G:$G,1,FALSE)</f>
        <v>#N/A</v>
      </c>
    </row>
    <row r="231" spans="1:25" ht="22.5" customHeight="1" x14ac:dyDescent="0.25">
      <c r="A231" s="2" t="s">
        <v>407</v>
      </c>
      <c r="B231" s="2" t="s">
        <v>408</v>
      </c>
      <c r="C231" s="3">
        <v>2.1999999999999999E-2</v>
      </c>
      <c r="D231" s="6" t="s">
        <v>242</v>
      </c>
      <c r="E231">
        <f>(30-C231*100)*VLOOKUP($D231,Calc!$A$1:$C$6,3,FALSE)</f>
        <v>69.5</v>
      </c>
      <c r="F231" s="6">
        <f>VLOOKUP(D231,Calc!$A$1:$B$6,2,FALSE)</f>
        <v>3</v>
      </c>
      <c r="G231" s="10">
        <f t="shared" si="36"/>
        <v>2.23E-2</v>
      </c>
      <c r="H231" s="9">
        <f t="shared" si="37"/>
        <v>3.9999999999999998E-6</v>
      </c>
      <c r="I231" s="10">
        <f t="shared" si="38"/>
        <v>2.2300400000000001E-2</v>
      </c>
      <c r="J231" s="10">
        <f t="shared" si="39"/>
        <v>2.2300400000000001E-2</v>
      </c>
      <c r="K231" s="10" t="str">
        <f t="shared" si="40"/>
        <v/>
      </c>
      <c r="L231" s="9">
        <f t="shared" si="41"/>
        <v>2.9776995999999998</v>
      </c>
      <c r="M231" s="9">
        <f t="shared" si="42"/>
        <v>2.9776995999999998</v>
      </c>
      <c r="N231" s="9" t="str">
        <f t="shared" si="43"/>
        <v/>
      </c>
      <c r="O231" s="4" t="s">
        <v>755</v>
      </c>
      <c r="P231" s="1" t="s">
        <v>1700</v>
      </c>
      <c r="Q231" s="7"/>
      <c r="R231" s="8" t="s">
        <v>1400</v>
      </c>
      <c r="S231" s="7"/>
      <c r="T231" s="7"/>
      <c r="U231" t="str">
        <f t="shared" si="44"/>
        <v/>
      </c>
      <c r="V231" t="str">
        <f t="shared" si="45"/>
        <v/>
      </c>
      <c r="W231" t="str">
        <f t="shared" si="46"/>
        <v/>
      </c>
      <c r="X231" t="str">
        <f t="shared" si="47"/>
        <v/>
      </c>
      <c r="Y231" t="e">
        <f>VLOOKUP($A231,Runs!$G:$G,1,FALSE)</f>
        <v>#N/A</v>
      </c>
    </row>
    <row r="232" spans="1:25" ht="22.5" customHeight="1" x14ac:dyDescent="0.25">
      <c r="A232" s="2" t="s">
        <v>400</v>
      </c>
      <c r="B232" s="2" t="s">
        <v>401</v>
      </c>
      <c r="C232" s="3">
        <v>2.1999999999999999E-2</v>
      </c>
      <c r="D232" s="6" t="s">
        <v>242</v>
      </c>
      <c r="E232">
        <f>(30-C232*100)*VLOOKUP($D232,Calc!$A$1:$C$6,3,FALSE)</f>
        <v>69.5</v>
      </c>
      <c r="F232" s="6">
        <f>VLOOKUP(D232,Calc!$A$1:$B$6,2,FALSE)</f>
        <v>3</v>
      </c>
      <c r="G232" s="10">
        <f t="shared" si="36"/>
        <v>2.23E-2</v>
      </c>
      <c r="H232" s="9">
        <f t="shared" si="37"/>
        <v>5.8E-5</v>
      </c>
      <c r="I232" s="10">
        <f t="shared" si="38"/>
        <v>2.2305800000000001E-2</v>
      </c>
      <c r="J232" s="10">
        <f t="shared" si="39"/>
        <v>2.2305800000000001E-2</v>
      </c>
      <c r="K232" s="10" t="str">
        <f t="shared" si="40"/>
        <v/>
      </c>
      <c r="L232" s="9">
        <f t="shared" si="41"/>
        <v>2.9776942000000002</v>
      </c>
      <c r="M232" s="9">
        <f t="shared" si="42"/>
        <v>2.9776942000000002</v>
      </c>
      <c r="N232" s="9" t="str">
        <f t="shared" si="43"/>
        <v/>
      </c>
      <c r="O232" s="4" t="s">
        <v>755</v>
      </c>
      <c r="P232" s="1" t="s">
        <v>1676</v>
      </c>
      <c r="Q232" s="7" t="s">
        <v>884</v>
      </c>
      <c r="R232" s="8" t="s">
        <v>1315</v>
      </c>
      <c r="S232" s="7"/>
      <c r="T232" s="7"/>
      <c r="U232" t="str">
        <f t="shared" si="44"/>
        <v/>
      </c>
      <c r="V232" t="str">
        <f t="shared" si="45"/>
        <v/>
      </c>
      <c r="W232" t="str">
        <f t="shared" si="46"/>
        <v/>
      </c>
      <c r="X232" t="str">
        <f t="shared" si="47"/>
        <v/>
      </c>
      <c r="Y232" t="e">
        <f>VLOOKUP($A232,Runs!$G:$G,1,FALSE)</f>
        <v>#N/A</v>
      </c>
    </row>
    <row r="233" spans="1:25" ht="22.5" customHeight="1" x14ac:dyDescent="0.25">
      <c r="A233" s="2" t="s">
        <v>447</v>
      </c>
      <c r="B233" s="2" t="s">
        <v>448</v>
      </c>
      <c r="C233" s="3">
        <v>2.3E-2</v>
      </c>
      <c r="D233" s="6" t="s">
        <v>434</v>
      </c>
      <c r="E233">
        <f>(30-C233*100)*VLOOKUP($D233,Calc!$A$1:$C$6,3,FALSE)</f>
        <v>138.5</v>
      </c>
      <c r="F233" s="6">
        <f>VLOOKUP(D233,Calc!$A$1:$B$6,2,FALSE)</f>
        <v>4</v>
      </c>
      <c r="G233" s="10">
        <f t="shared" si="36"/>
        <v>2.3400000000000001E-2</v>
      </c>
      <c r="H233" s="9">
        <f t="shared" si="37"/>
        <v>3.1000000000000001E-5</v>
      </c>
      <c r="I233" s="10">
        <f t="shared" si="38"/>
        <v>2.34031E-2</v>
      </c>
      <c r="J233" s="10">
        <f t="shared" si="39"/>
        <v>2.34031E-2</v>
      </c>
      <c r="K233" s="10" t="str">
        <f t="shared" si="40"/>
        <v/>
      </c>
      <c r="L233" s="9">
        <f t="shared" si="41"/>
        <v>3.9765969000000001</v>
      </c>
      <c r="M233" s="9">
        <f t="shared" si="42"/>
        <v>3.9765969000000001</v>
      </c>
      <c r="N233" s="9" t="str">
        <f t="shared" si="43"/>
        <v/>
      </c>
      <c r="O233" s="4" t="s">
        <v>755</v>
      </c>
      <c r="P233" s="1" t="s">
        <v>1826</v>
      </c>
      <c r="Q233" s="7"/>
      <c r="R233" s="7" t="s">
        <v>1282</v>
      </c>
      <c r="S233" s="8" t="s">
        <v>1283</v>
      </c>
      <c r="T233" s="7"/>
      <c r="U233" t="str">
        <f t="shared" si="44"/>
        <v/>
      </c>
      <c r="V233" t="str">
        <f t="shared" si="45"/>
        <v/>
      </c>
      <c r="W233" t="str">
        <f t="shared" si="46"/>
        <v/>
      </c>
      <c r="X233" t="str">
        <f t="shared" si="47"/>
        <v/>
      </c>
      <c r="Y233" t="str">
        <f>VLOOKUP($A233,Runs!$G:$G,1,FALSE)</f>
        <v>A Blessed Nation</v>
      </c>
    </row>
    <row r="234" spans="1:25" ht="22.5" customHeight="1" x14ac:dyDescent="0.25">
      <c r="A234" s="2" t="s">
        <v>240</v>
      </c>
      <c r="B234" s="2" t="s">
        <v>241</v>
      </c>
      <c r="C234" s="3">
        <v>2.3E-2</v>
      </c>
      <c r="D234" s="6" t="s">
        <v>242</v>
      </c>
      <c r="E234">
        <f>(30-C234*100)*VLOOKUP($D234,Calc!$A$1:$C$6,3,FALSE)</f>
        <v>69.25</v>
      </c>
      <c r="F234" s="6">
        <f>VLOOKUP(D234,Calc!$A$1:$B$6,2,FALSE)</f>
        <v>3</v>
      </c>
      <c r="G234" s="10">
        <f t="shared" si="36"/>
        <v>2.3300000000000001E-2</v>
      </c>
      <c r="H234" s="9">
        <f t="shared" si="37"/>
        <v>1.02E-4</v>
      </c>
      <c r="I234" s="10">
        <f t="shared" si="38"/>
        <v>2.33102E-2</v>
      </c>
      <c r="J234" s="10">
        <f t="shared" si="39"/>
        <v>2.33102E-2</v>
      </c>
      <c r="K234" s="10" t="str">
        <f t="shared" si="40"/>
        <v/>
      </c>
      <c r="L234" s="9">
        <f t="shared" si="41"/>
        <v>2.9766897999999999</v>
      </c>
      <c r="M234" s="9">
        <f t="shared" si="42"/>
        <v>2.9766897999999999</v>
      </c>
      <c r="N234" s="9" t="str">
        <f t="shared" si="43"/>
        <v/>
      </c>
      <c r="O234" s="4" t="s">
        <v>755</v>
      </c>
      <c r="P234" s="1" t="s">
        <v>1691</v>
      </c>
      <c r="Q234" s="7" t="s">
        <v>866</v>
      </c>
      <c r="R234" s="7" t="s">
        <v>867</v>
      </c>
      <c r="S234" s="8" t="s">
        <v>868</v>
      </c>
      <c r="T234" s="7"/>
      <c r="U234" t="str">
        <f t="shared" si="44"/>
        <v/>
      </c>
      <c r="V234" t="str">
        <f t="shared" si="45"/>
        <v/>
      </c>
      <c r="W234" t="str">
        <f t="shared" si="46"/>
        <v/>
      </c>
      <c r="X234" t="str">
        <f t="shared" si="47"/>
        <v/>
      </c>
      <c r="Y234" t="e">
        <f>VLOOKUP($A234,Runs!$G:$G,1,FALSE)</f>
        <v>#N/A</v>
      </c>
    </row>
    <row r="235" spans="1:25" ht="22.5" customHeight="1" x14ac:dyDescent="0.25">
      <c r="A235" s="2" t="s">
        <v>279</v>
      </c>
      <c r="B235" s="2" t="s">
        <v>280</v>
      </c>
      <c r="C235" s="3">
        <v>2.3E-2</v>
      </c>
      <c r="D235" s="6" t="s">
        <v>242</v>
      </c>
      <c r="E235">
        <f>(30-C235*100)*VLOOKUP($D235,Calc!$A$1:$C$6,3,FALSE)</f>
        <v>69.25</v>
      </c>
      <c r="F235" s="6">
        <f>VLOOKUP(D235,Calc!$A$1:$B$6,2,FALSE)</f>
        <v>3</v>
      </c>
      <c r="G235" s="10">
        <f t="shared" si="36"/>
        <v>2.3300000000000001E-2</v>
      </c>
      <c r="H235" s="9">
        <f t="shared" si="37"/>
        <v>4.1E-5</v>
      </c>
      <c r="I235" s="10">
        <f t="shared" si="38"/>
        <v>2.3304100000000001E-2</v>
      </c>
      <c r="J235" s="10">
        <f t="shared" si="39"/>
        <v>2.3304100000000001E-2</v>
      </c>
      <c r="K235" s="10" t="str">
        <f t="shared" si="40"/>
        <v/>
      </c>
      <c r="L235" s="9">
        <f t="shared" si="41"/>
        <v>2.9766959000000002</v>
      </c>
      <c r="M235" s="9">
        <f t="shared" si="42"/>
        <v>2.9766959000000002</v>
      </c>
      <c r="N235" s="9" t="str">
        <f t="shared" si="43"/>
        <v/>
      </c>
      <c r="O235" s="4" t="s">
        <v>755</v>
      </c>
      <c r="P235" s="1" t="s">
        <v>1860</v>
      </c>
      <c r="Q235" s="7"/>
      <c r="R235" s="8" t="s">
        <v>1091</v>
      </c>
      <c r="S235" s="7"/>
      <c r="T235" s="7" t="s">
        <v>770</v>
      </c>
      <c r="U235" t="str">
        <f t="shared" si="44"/>
        <v/>
      </c>
      <c r="V235" t="str">
        <f t="shared" si="45"/>
        <v/>
      </c>
      <c r="W235" t="str">
        <f t="shared" si="46"/>
        <v/>
      </c>
      <c r="X235" t="str">
        <f t="shared" si="47"/>
        <v/>
      </c>
      <c r="Y235" t="e">
        <f>VLOOKUP($A235,Runs!$G:$G,1,FALSE)</f>
        <v>#N/A</v>
      </c>
    </row>
    <row r="236" spans="1:25" ht="22.5" customHeight="1" x14ac:dyDescent="0.25">
      <c r="A236" s="2" t="s">
        <v>164</v>
      </c>
      <c r="B236" s="2" t="s">
        <v>165</v>
      </c>
      <c r="C236" s="3">
        <v>2.4E-2</v>
      </c>
      <c r="D236" s="6" t="s">
        <v>105</v>
      </c>
      <c r="E236">
        <f>(30-C236*100)*VLOOKUP($D236,Calc!$A$1:$C$6,3,FALSE)</f>
        <v>27.6</v>
      </c>
      <c r="F236" s="6">
        <f>VLOOKUP(D236,Calc!$A$1:$B$6,2,FALSE)</f>
        <v>2</v>
      </c>
      <c r="G236" s="10">
        <f t="shared" si="36"/>
        <v>2.4199999999999999E-2</v>
      </c>
      <c r="H236" s="9">
        <f t="shared" si="37"/>
        <v>3.8000000000000002E-5</v>
      </c>
      <c r="I236" s="10">
        <f t="shared" si="38"/>
        <v>2.4203800000000001E-2</v>
      </c>
      <c r="J236" s="10">
        <f t="shared" si="39"/>
        <v>2.4203800000000001E-2</v>
      </c>
      <c r="K236" s="10" t="str">
        <f t="shared" si="40"/>
        <v/>
      </c>
      <c r="L236" s="9">
        <f t="shared" si="41"/>
        <v>1.9757962</v>
      </c>
      <c r="M236" s="9">
        <f t="shared" si="42"/>
        <v>1.9757962</v>
      </c>
      <c r="N236" s="9" t="str">
        <f t="shared" si="43"/>
        <v/>
      </c>
      <c r="O236" s="4" t="s">
        <v>755</v>
      </c>
      <c r="P236" s="1" t="s">
        <v>1676</v>
      </c>
      <c r="Q236" s="7"/>
      <c r="R236" s="7" t="s">
        <v>969</v>
      </c>
      <c r="S236" s="8" t="s">
        <v>970</v>
      </c>
      <c r="T236" s="7"/>
      <c r="U236" t="str">
        <f t="shared" si="44"/>
        <v/>
      </c>
      <c r="V236" t="str">
        <f t="shared" si="45"/>
        <v/>
      </c>
      <c r="W236" t="str">
        <f t="shared" si="46"/>
        <v/>
      </c>
      <c r="X236" t="str">
        <f t="shared" si="47"/>
        <v/>
      </c>
      <c r="Y236" t="e">
        <f>VLOOKUP($A236,Runs!$G:$G,1,FALSE)</f>
        <v>#N/A</v>
      </c>
    </row>
    <row r="237" spans="1:25" ht="22.5" customHeight="1" x14ac:dyDescent="0.25">
      <c r="A237" s="2" t="s">
        <v>312</v>
      </c>
      <c r="B237" s="2" t="s">
        <v>693</v>
      </c>
      <c r="C237" s="3">
        <v>2.4E-2</v>
      </c>
      <c r="D237" s="6" t="s">
        <v>242</v>
      </c>
      <c r="E237">
        <f>(30-C237*100)*VLOOKUP($D237,Calc!$A$1:$C$6,3,FALSE)</f>
        <v>69</v>
      </c>
      <c r="F237" s="6">
        <f>VLOOKUP(D237,Calc!$A$1:$B$6,2,FALSE)</f>
        <v>3</v>
      </c>
      <c r="G237" s="10">
        <f t="shared" si="36"/>
        <v>2.4300000000000002E-2</v>
      </c>
      <c r="H237" s="9">
        <f t="shared" si="37"/>
        <v>6.9999999999999999E-6</v>
      </c>
      <c r="I237" s="10">
        <f t="shared" si="38"/>
        <v>2.4300700000000001E-2</v>
      </c>
      <c r="J237" s="10" t="str">
        <f t="shared" si="39"/>
        <v/>
      </c>
      <c r="K237" s="10">
        <f t="shared" si="40"/>
        <v>2.4300700000000001E-2</v>
      </c>
      <c r="L237" s="9">
        <f t="shared" si="41"/>
        <v>2.9756993</v>
      </c>
      <c r="M237" s="9" t="str">
        <f t="shared" si="42"/>
        <v/>
      </c>
      <c r="N237" s="9">
        <f t="shared" si="43"/>
        <v>2.9756993</v>
      </c>
      <c r="O237" s="4"/>
      <c r="Q237" s="7" t="s">
        <v>1149</v>
      </c>
      <c r="R237" s="7" t="s">
        <v>1150</v>
      </c>
      <c r="S237" s="8" t="s">
        <v>1151</v>
      </c>
      <c r="T237" s="7"/>
      <c r="U237" t="str">
        <f t="shared" si="44"/>
        <v/>
      </c>
      <c r="V237">
        <f t="shared" si="45"/>
        <v>2.4300700000000001E-2</v>
      </c>
      <c r="W237" t="str">
        <f t="shared" si="46"/>
        <v/>
      </c>
      <c r="X237" t="str">
        <f t="shared" si="47"/>
        <v/>
      </c>
      <c r="Y237" t="str">
        <f>VLOOKUP($A237,Runs!$G:$G,1,FALSE)</f>
        <v>Lion of the North</v>
      </c>
    </row>
    <row r="238" spans="1:25" ht="22.5" customHeight="1" x14ac:dyDescent="0.25">
      <c r="A238" s="2" t="s">
        <v>518</v>
      </c>
      <c r="B238" s="2" t="s">
        <v>519</v>
      </c>
      <c r="C238" s="3">
        <v>2.5000000000000001E-2</v>
      </c>
      <c r="D238" s="6" t="s">
        <v>434</v>
      </c>
      <c r="E238">
        <f>(30-C238*100)*VLOOKUP($D238,Calc!$A$1:$C$6,3,FALSE)</f>
        <v>137.5</v>
      </c>
      <c r="F238" s="6">
        <f>VLOOKUP(D238,Calc!$A$1:$B$6,2,FALSE)</f>
        <v>4</v>
      </c>
      <c r="G238" s="10">
        <f t="shared" si="36"/>
        <v>2.5400000000000002E-2</v>
      </c>
      <c r="H238" s="9">
        <f t="shared" si="37"/>
        <v>1.2E-5</v>
      </c>
      <c r="I238" s="10">
        <f t="shared" si="38"/>
        <v>2.5401200000000002E-2</v>
      </c>
      <c r="J238" s="10">
        <f t="shared" si="39"/>
        <v>2.5401200000000002E-2</v>
      </c>
      <c r="K238" s="10" t="str">
        <f t="shared" si="40"/>
        <v/>
      </c>
      <c r="L238" s="9">
        <f t="shared" si="41"/>
        <v>3.9745987999999999</v>
      </c>
      <c r="M238" s="9">
        <f t="shared" si="42"/>
        <v>3.9745987999999999</v>
      </c>
      <c r="N238" s="9" t="str">
        <f t="shared" si="43"/>
        <v/>
      </c>
      <c r="O238" s="4" t="s">
        <v>755</v>
      </c>
      <c r="P238" s="1" t="s">
        <v>1693</v>
      </c>
      <c r="Q238" s="7"/>
      <c r="R238" s="7" t="s">
        <v>1425</v>
      </c>
      <c r="S238" s="8" t="s">
        <v>1426</v>
      </c>
      <c r="T238" s="7"/>
      <c r="U238" t="str">
        <f t="shared" si="44"/>
        <v/>
      </c>
      <c r="V238" t="str">
        <f t="shared" si="45"/>
        <v/>
      </c>
      <c r="W238" t="str">
        <f t="shared" si="46"/>
        <v/>
      </c>
      <c r="X238" t="str">
        <f t="shared" si="47"/>
        <v/>
      </c>
      <c r="Y238" t="e">
        <f>VLOOKUP($A238,Runs!$G:$G,1,FALSE)</f>
        <v>#N/A</v>
      </c>
    </row>
    <row r="239" spans="1:25" ht="22.5" customHeight="1" x14ac:dyDescent="0.25">
      <c r="A239" s="2" t="s">
        <v>310</v>
      </c>
      <c r="B239" s="2" t="s">
        <v>311</v>
      </c>
      <c r="C239" s="3">
        <v>2.5000000000000001E-2</v>
      </c>
      <c r="D239" s="6" t="s">
        <v>242</v>
      </c>
      <c r="E239">
        <f>(30-C239*100)*VLOOKUP($D239,Calc!$A$1:$C$6,3,FALSE)</f>
        <v>68.75</v>
      </c>
      <c r="F239" s="6">
        <f>VLOOKUP(D239,Calc!$A$1:$B$6,2,FALSE)</f>
        <v>3</v>
      </c>
      <c r="G239" s="10">
        <f t="shared" si="36"/>
        <v>2.5300000000000003E-2</v>
      </c>
      <c r="H239" s="9">
        <f t="shared" si="37"/>
        <v>7.8999999999999996E-5</v>
      </c>
      <c r="I239" s="10">
        <f t="shared" si="38"/>
        <v>2.5307900000000005E-2</v>
      </c>
      <c r="J239" s="10">
        <f t="shared" si="39"/>
        <v>2.5307900000000005E-2</v>
      </c>
      <c r="K239" s="10" t="str">
        <f t="shared" si="40"/>
        <v/>
      </c>
      <c r="L239" s="9">
        <f t="shared" si="41"/>
        <v>2.9746921</v>
      </c>
      <c r="M239" s="9">
        <f t="shared" si="42"/>
        <v>2.9746921</v>
      </c>
      <c r="N239" s="9" t="str">
        <f t="shared" si="43"/>
        <v/>
      </c>
      <c r="O239" s="4" t="s">
        <v>755</v>
      </c>
      <c r="P239" s="1" t="s">
        <v>1693</v>
      </c>
      <c r="Q239" s="7"/>
      <c r="R239" s="7" t="s">
        <v>1145</v>
      </c>
      <c r="S239" s="8" t="s">
        <v>1146</v>
      </c>
      <c r="T239" s="7"/>
      <c r="U239" t="str">
        <f t="shared" si="44"/>
        <v/>
      </c>
      <c r="V239" t="str">
        <f t="shared" si="45"/>
        <v/>
      </c>
      <c r="W239" t="str">
        <f t="shared" si="46"/>
        <v/>
      </c>
      <c r="X239" t="str">
        <f t="shared" si="47"/>
        <v/>
      </c>
      <c r="Y239" t="e">
        <f>VLOOKUP($A239,Runs!$G:$G,1,FALSE)</f>
        <v>#N/A</v>
      </c>
    </row>
    <row r="240" spans="1:25" ht="22.5" customHeight="1" x14ac:dyDescent="0.25">
      <c r="A240" s="2" t="s">
        <v>606</v>
      </c>
      <c r="B240" s="2" t="s">
        <v>607</v>
      </c>
      <c r="C240" s="3">
        <v>2.5000000000000001E-2</v>
      </c>
      <c r="D240" s="6" t="s">
        <v>573</v>
      </c>
      <c r="E240">
        <f>(30-C240*100)*VLOOKUP($D240,Calc!$A$1:$C$6,3,FALSE)</f>
        <v>275</v>
      </c>
      <c r="F240" s="6">
        <f>VLOOKUP(D240,Calc!$A$1:$B$6,2,FALSE)</f>
        <v>5</v>
      </c>
      <c r="G240" s="10">
        <f t="shared" si="36"/>
        <v>2.5500000000000002E-2</v>
      </c>
      <c r="H240" s="9">
        <f t="shared" si="37"/>
        <v>7.7999999999999999E-5</v>
      </c>
      <c r="I240" s="10">
        <f t="shared" si="38"/>
        <v>2.5507800000000001E-2</v>
      </c>
      <c r="J240" s="10">
        <f t="shared" si="39"/>
        <v>2.5507800000000001E-2</v>
      </c>
      <c r="K240" s="10" t="str">
        <f t="shared" si="40"/>
        <v/>
      </c>
      <c r="L240" s="9">
        <f t="shared" si="41"/>
        <v>4.9744922000000003</v>
      </c>
      <c r="M240" s="9">
        <f t="shared" si="42"/>
        <v>4.9744922000000003</v>
      </c>
      <c r="N240" s="9" t="str">
        <f t="shared" si="43"/>
        <v/>
      </c>
      <c r="O240" s="4" t="s">
        <v>755</v>
      </c>
      <c r="P240" s="1" t="s">
        <v>1866</v>
      </c>
      <c r="Q240" s="7" t="s">
        <v>1539</v>
      </c>
      <c r="R240" s="7" t="s">
        <v>1540</v>
      </c>
      <c r="S240" s="8" t="s">
        <v>1541</v>
      </c>
      <c r="T240" s="7"/>
      <c r="U240" t="str">
        <f t="shared" si="44"/>
        <v/>
      </c>
      <c r="V240" t="str">
        <f t="shared" si="45"/>
        <v/>
      </c>
      <c r="W240" t="str">
        <f t="shared" si="46"/>
        <v/>
      </c>
      <c r="X240" t="str">
        <f t="shared" si="47"/>
        <v/>
      </c>
      <c r="Y240" t="str">
        <f>VLOOKUP($A240,Runs!$G:$G,1,FALSE)</f>
        <v>Shahanshah</v>
      </c>
    </row>
    <row r="241" spans="1:25" ht="22.5" customHeight="1" x14ac:dyDescent="0.25">
      <c r="A241" s="2" t="s">
        <v>473</v>
      </c>
      <c r="B241" s="2" t="s">
        <v>474</v>
      </c>
      <c r="C241" s="3">
        <v>2.5999999999999999E-2</v>
      </c>
      <c r="D241" s="6" t="s">
        <v>434</v>
      </c>
      <c r="E241">
        <f>(30-C241*100)*VLOOKUP($D241,Calc!$A$1:$C$6,3,FALSE)</f>
        <v>137</v>
      </c>
      <c r="F241" s="6">
        <f>VLOOKUP(D241,Calc!$A$1:$B$6,2,FALSE)</f>
        <v>4</v>
      </c>
      <c r="G241" s="10">
        <f t="shared" si="36"/>
        <v>2.64E-2</v>
      </c>
      <c r="H241" s="9">
        <f t="shared" si="37"/>
        <v>9.7E-5</v>
      </c>
      <c r="I241" s="10">
        <f t="shared" si="38"/>
        <v>2.6409700000000001E-2</v>
      </c>
      <c r="J241" s="10" t="str">
        <f t="shared" si="39"/>
        <v/>
      </c>
      <c r="K241" s="10">
        <f t="shared" si="40"/>
        <v>2.6409700000000001E-2</v>
      </c>
      <c r="L241" s="9">
        <f t="shared" si="41"/>
        <v>3.9735903000000001</v>
      </c>
      <c r="M241" s="9" t="str">
        <f t="shared" si="42"/>
        <v/>
      </c>
      <c r="N241" s="9">
        <f t="shared" si="43"/>
        <v>3.9735903000000001</v>
      </c>
      <c r="O241" s="4"/>
      <c r="Q241" s="7"/>
      <c r="R241" s="7" t="s">
        <v>1341</v>
      </c>
      <c r="S241" s="8" t="s">
        <v>1342</v>
      </c>
      <c r="T241" s="7"/>
      <c r="U241" t="str">
        <f t="shared" si="44"/>
        <v/>
      </c>
      <c r="V241" t="str">
        <f t="shared" si="45"/>
        <v/>
      </c>
      <c r="W241">
        <f t="shared" si="46"/>
        <v>2.6409700000000001E-2</v>
      </c>
      <c r="X241" t="str">
        <f t="shared" si="47"/>
        <v/>
      </c>
      <c r="Y241" t="str">
        <f>VLOOKUP($A241,Runs!$G:$G,1,FALSE)</f>
        <v>Guarantor of Peace</v>
      </c>
    </row>
    <row r="242" spans="1:25" ht="22.5" customHeight="1" x14ac:dyDescent="0.25">
      <c r="A242" s="2" t="s">
        <v>409</v>
      </c>
      <c r="B242" s="2" t="s">
        <v>410</v>
      </c>
      <c r="C242" s="3">
        <v>2.5999999999999999E-2</v>
      </c>
      <c r="D242" s="6" t="s">
        <v>242</v>
      </c>
      <c r="E242">
        <f>(30-C242*100)*VLOOKUP($D242,Calc!$A$1:$C$6,3,FALSE)</f>
        <v>68.5</v>
      </c>
      <c r="F242" s="6">
        <f>VLOOKUP(D242,Calc!$A$1:$B$6,2,FALSE)</f>
        <v>3</v>
      </c>
      <c r="G242" s="10">
        <f t="shared" si="36"/>
        <v>2.63E-2</v>
      </c>
      <c r="H242" s="9">
        <f t="shared" si="37"/>
        <v>5.5000000000000002E-5</v>
      </c>
      <c r="I242" s="10">
        <f t="shared" si="38"/>
        <v>2.6305499999999999E-2</v>
      </c>
      <c r="J242" s="10">
        <f t="shared" si="39"/>
        <v>2.6305499999999999E-2</v>
      </c>
      <c r="K242" s="10" t="str">
        <f t="shared" si="40"/>
        <v/>
      </c>
      <c r="L242" s="9">
        <f t="shared" si="41"/>
        <v>2.9736945000000001</v>
      </c>
      <c r="M242" s="9">
        <f t="shared" si="42"/>
        <v>2.9736945000000001</v>
      </c>
      <c r="N242" s="9" t="str">
        <f t="shared" si="43"/>
        <v/>
      </c>
      <c r="O242" s="4" t="s">
        <v>755</v>
      </c>
      <c r="P242" s="1" t="s">
        <v>1685</v>
      </c>
      <c r="Q242" s="7" t="s">
        <v>1407</v>
      </c>
      <c r="R242" s="7" t="s">
        <v>1408</v>
      </c>
      <c r="S242" s="8" t="s">
        <v>1409</v>
      </c>
      <c r="T242" s="7"/>
      <c r="U242" t="str">
        <f t="shared" si="44"/>
        <v/>
      </c>
      <c r="V242" t="str">
        <f t="shared" si="45"/>
        <v/>
      </c>
      <c r="W242" t="str">
        <f t="shared" si="46"/>
        <v/>
      </c>
      <c r="X242" t="str">
        <f t="shared" si="47"/>
        <v/>
      </c>
      <c r="Y242" t="e">
        <f>VLOOKUP($A242,Runs!$G:$G,1,FALSE)</f>
        <v>#N/A</v>
      </c>
    </row>
    <row r="243" spans="1:25" ht="22.5" customHeight="1" x14ac:dyDescent="0.25">
      <c r="A243" s="2" t="s">
        <v>251</v>
      </c>
      <c r="B243" s="2" t="s">
        <v>252</v>
      </c>
      <c r="C243" s="3">
        <v>2.5999999999999999E-2</v>
      </c>
      <c r="D243" s="6" t="s">
        <v>242</v>
      </c>
      <c r="E243">
        <f>(30-C243*100)*VLOOKUP($D243,Calc!$A$1:$C$6,3,FALSE)</f>
        <v>68.5</v>
      </c>
      <c r="F243" s="6">
        <f>VLOOKUP(D243,Calc!$A$1:$B$6,2,FALSE)</f>
        <v>3</v>
      </c>
      <c r="G243" s="10">
        <f t="shared" si="36"/>
        <v>2.63E-2</v>
      </c>
      <c r="H243" s="9">
        <f t="shared" si="37"/>
        <v>9.1000000000000003E-5</v>
      </c>
      <c r="I243" s="10">
        <f t="shared" si="38"/>
        <v>2.6309100000000002E-2</v>
      </c>
      <c r="J243" s="10">
        <f t="shared" si="39"/>
        <v>2.6309100000000002E-2</v>
      </c>
      <c r="K243" s="10" t="str">
        <f t="shared" si="40"/>
        <v/>
      </c>
      <c r="L243" s="9">
        <f t="shared" si="41"/>
        <v>2.9736908999999998</v>
      </c>
      <c r="M243" s="9">
        <f t="shared" si="42"/>
        <v>2.9736908999999998</v>
      </c>
      <c r="N243" s="9" t="str">
        <f t="shared" si="43"/>
        <v/>
      </c>
      <c r="O243" s="4" t="s">
        <v>755</v>
      </c>
      <c r="P243" s="1" t="s">
        <v>1706</v>
      </c>
      <c r="Q243" s="7" t="s">
        <v>993</v>
      </c>
      <c r="R243" s="7" t="s">
        <v>994</v>
      </c>
      <c r="S243" s="8" t="s">
        <v>995</v>
      </c>
      <c r="T243" s="7"/>
      <c r="U243" t="str">
        <f t="shared" si="44"/>
        <v/>
      </c>
      <c r="V243" t="str">
        <f t="shared" si="45"/>
        <v/>
      </c>
      <c r="W243" t="str">
        <f t="shared" si="46"/>
        <v/>
      </c>
      <c r="X243" t="str">
        <f t="shared" si="47"/>
        <v/>
      </c>
      <c r="Y243" t="str">
        <f>VLOOKUP($A243,Runs!$G:$G,1,FALSE)</f>
        <v>Relentless Push East</v>
      </c>
    </row>
    <row r="244" spans="1:25" ht="22.5" customHeight="1" x14ac:dyDescent="0.25">
      <c r="A244" s="2" t="s">
        <v>306</v>
      </c>
      <c r="B244" s="2" t="s">
        <v>307</v>
      </c>
      <c r="C244" s="3">
        <v>2.5999999999999999E-2</v>
      </c>
      <c r="D244" s="6" t="s">
        <v>242</v>
      </c>
      <c r="E244">
        <f>(30-C244*100)*VLOOKUP($D244,Calc!$A$1:$C$6,3,FALSE)</f>
        <v>68.5</v>
      </c>
      <c r="F244" s="6">
        <f>VLOOKUP(D244,Calc!$A$1:$B$6,2,FALSE)</f>
        <v>3</v>
      </c>
      <c r="G244" s="10">
        <f t="shared" si="36"/>
        <v>2.63E-2</v>
      </c>
      <c r="H244" s="9">
        <f t="shared" si="37"/>
        <v>4.1E-5</v>
      </c>
      <c r="I244" s="10">
        <f t="shared" si="38"/>
        <v>2.63041E-2</v>
      </c>
      <c r="J244" s="10">
        <f t="shared" si="39"/>
        <v>2.63041E-2</v>
      </c>
      <c r="K244" s="10" t="str">
        <f t="shared" si="40"/>
        <v/>
      </c>
      <c r="L244" s="9">
        <f t="shared" si="41"/>
        <v>2.9736959000000001</v>
      </c>
      <c r="M244" s="9">
        <f t="shared" si="42"/>
        <v>2.9736959000000001</v>
      </c>
      <c r="N244" s="9" t="str">
        <f t="shared" si="43"/>
        <v/>
      </c>
      <c r="O244" s="4" t="s">
        <v>755</v>
      </c>
      <c r="P244" s="1" t="s">
        <v>1864</v>
      </c>
      <c r="Q244" s="7" t="s">
        <v>1134</v>
      </c>
      <c r="R244" s="8" t="s">
        <v>1135</v>
      </c>
      <c r="S244" s="7"/>
      <c r="T244" s="7"/>
      <c r="U244" t="str">
        <f t="shared" si="44"/>
        <v/>
      </c>
      <c r="V244" t="str">
        <f t="shared" si="45"/>
        <v/>
      </c>
      <c r="W244" t="str">
        <f t="shared" si="46"/>
        <v/>
      </c>
      <c r="X244" t="str">
        <f t="shared" si="47"/>
        <v/>
      </c>
      <c r="Y244" t="str">
        <f>VLOOKUP($A244,Runs!$G:$G,1,FALSE)</f>
        <v>Kingdom of God</v>
      </c>
    </row>
    <row r="245" spans="1:25" ht="22.5" customHeight="1" x14ac:dyDescent="0.25">
      <c r="A245" s="2" t="s">
        <v>273</v>
      </c>
      <c r="B245" s="2" t="s">
        <v>274</v>
      </c>
      <c r="C245" s="3">
        <v>2.5999999999999999E-2</v>
      </c>
      <c r="D245" s="6" t="s">
        <v>242</v>
      </c>
      <c r="E245">
        <f>(30-C245*100)*VLOOKUP($D245,Calc!$A$1:$C$6,3,FALSE)</f>
        <v>68.5</v>
      </c>
      <c r="F245" s="6">
        <f>VLOOKUP(D245,Calc!$A$1:$B$6,2,FALSE)</f>
        <v>3</v>
      </c>
      <c r="G245" s="10">
        <f t="shared" si="36"/>
        <v>2.63E-2</v>
      </c>
      <c r="H245" s="9">
        <f t="shared" si="37"/>
        <v>-6.0000000000000002E-6</v>
      </c>
      <c r="I245" s="10">
        <f t="shared" si="38"/>
        <v>2.6299400000000001E-2</v>
      </c>
      <c r="J245" s="10">
        <f t="shared" si="39"/>
        <v>2.6299400000000001E-2</v>
      </c>
      <c r="K245" s="10" t="str">
        <f t="shared" si="40"/>
        <v/>
      </c>
      <c r="L245" s="9">
        <f t="shared" si="41"/>
        <v>2.9737005999999999</v>
      </c>
      <c r="M245" s="9">
        <f t="shared" si="42"/>
        <v>2.9737005999999999</v>
      </c>
      <c r="N245" s="9" t="str">
        <f t="shared" si="43"/>
        <v/>
      </c>
      <c r="O245" s="4" t="s">
        <v>755</v>
      </c>
      <c r="P245" s="1" t="s">
        <v>762</v>
      </c>
      <c r="Q245" s="7"/>
      <c r="R245" s="7" t="s">
        <v>1084</v>
      </c>
      <c r="S245" s="8" t="s">
        <v>1085</v>
      </c>
      <c r="T245" s="7"/>
      <c r="U245" t="str">
        <f t="shared" si="44"/>
        <v/>
      </c>
      <c r="V245" t="str">
        <f t="shared" si="45"/>
        <v/>
      </c>
      <c r="W245" t="str">
        <f t="shared" si="46"/>
        <v/>
      </c>
      <c r="X245" t="str">
        <f t="shared" si="47"/>
        <v/>
      </c>
      <c r="Y245" t="e">
        <f>VLOOKUP($A245,Runs!$G:$G,1,FALSE)</f>
        <v>#N/A</v>
      </c>
    </row>
    <row r="246" spans="1:25" ht="22.5" customHeight="1" x14ac:dyDescent="0.25">
      <c r="A246" s="2" t="s">
        <v>97</v>
      </c>
      <c r="B246" s="2" t="s">
        <v>98</v>
      </c>
      <c r="C246" s="3">
        <v>2.5999999999999999E-2</v>
      </c>
      <c r="D246" s="6" t="s">
        <v>2</v>
      </c>
      <c r="E246">
        <f>(30-C246*100)*VLOOKUP($D246,Calc!$A$1:$C$6,3,FALSE)</f>
        <v>13.7</v>
      </c>
      <c r="F246" s="6">
        <f>VLOOKUP(D246,Calc!$A$1:$B$6,2,FALSE)</f>
        <v>1</v>
      </c>
      <c r="G246" s="10">
        <f t="shared" si="36"/>
        <v>2.6099999999999998E-2</v>
      </c>
      <c r="H246" s="9">
        <f t="shared" si="37"/>
        <v>3.3000000000000003E-5</v>
      </c>
      <c r="I246" s="10">
        <f t="shared" si="38"/>
        <v>2.6103299999999999E-2</v>
      </c>
      <c r="J246" s="10" t="str">
        <f t="shared" si="39"/>
        <v/>
      </c>
      <c r="K246" s="10">
        <f t="shared" si="40"/>
        <v>2.6103299999999999E-2</v>
      </c>
      <c r="L246" s="9">
        <f t="shared" si="41"/>
        <v>0.97389669999999995</v>
      </c>
      <c r="M246" s="9" t="str">
        <f t="shared" si="42"/>
        <v/>
      </c>
      <c r="N246" s="9">
        <f t="shared" si="43"/>
        <v>0.97389669999999995</v>
      </c>
      <c r="O246" s="4"/>
      <c r="Q246" s="7" t="s">
        <v>981</v>
      </c>
      <c r="R246" s="8" t="s">
        <v>1174</v>
      </c>
      <c r="S246" s="7"/>
      <c r="T246" s="7"/>
      <c r="U246" t="str">
        <f t="shared" si="44"/>
        <v/>
      </c>
      <c r="V246" t="str">
        <f t="shared" si="45"/>
        <v/>
      </c>
      <c r="W246" t="str">
        <f t="shared" si="46"/>
        <v/>
      </c>
      <c r="X246">
        <f t="shared" si="47"/>
        <v>2.6103299999999999E-2</v>
      </c>
      <c r="Y246" t="str">
        <f>VLOOKUP($A246,Runs!$G:$G,1,FALSE)</f>
        <v>Poland can into space</v>
      </c>
    </row>
    <row r="247" spans="1:25" ht="22.5" customHeight="1" x14ac:dyDescent="0.25">
      <c r="A247" s="2" t="s">
        <v>22</v>
      </c>
      <c r="B247" s="2" t="s">
        <v>23</v>
      </c>
      <c r="C247" s="3">
        <v>2.5999999999999999E-2</v>
      </c>
      <c r="D247" s="6" t="s">
        <v>2</v>
      </c>
      <c r="E247">
        <f>(30-C247*100)*VLOOKUP($D247,Calc!$A$1:$C$6,3,FALSE)</f>
        <v>13.7</v>
      </c>
      <c r="F247" s="6">
        <f>VLOOKUP(D247,Calc!$A$1:$B$6,2,FALSE)</f>
        <v>1</v>
      </c>
      <c r="G247" s="10">
        <f t="shared" si="36"/>
        <v>2.6099999999999998E-2</v>
      </c>
      <c r="H247" s="9">
        <f t="shared" si="37"/>
        <v>7.1000000000000005E-5</v>
      </c>
      <c r="I247" s="10">
        <f t="shared" si="38"/>
        <v>2.6107099999999998E-2</v>
      </c>
      <c r="J247" s="10">
        <f t="shared" si="39"/>
        <v>2.6107099999999998E-2</v>
      </c>
      <c r="K247" s="10" t="str">
        <f t="shared" si="40"/>
        <v/>
      </c>
      <c r="L247" s="9">
        <f t="shared" si="41"/>
        <v>0.97389289999999995</v>
      </c>
      <c r="M247" s="9">
        <f t="shared" si="42"/>
        <v>0.97389289999999995</v>
      </c>
      <c r="N247" s="9" t="str">
        <f t="shared" si="43"/>
        <v/>
      </c>
      <c r="O247" s="4" t="s">
        <v>755</v>
      </c>
      <c r="P247" s="1" t="s">
        <v>2026</v>
      </c>
      <c r="Q247" s="7" t="s">
        <v>797</v>
      </c>
      <c r="R247" s="7" t="s">
        <v>798</v>
      </c>
      <c r="S247" s="7" t="s">
        <v>799</v>
      </c>
      <c r="T247" s="7" t="s">
        <v>770</v>
      </c>
      <c r="U247" t="str">
        <f t="shared" si="44"/>
        <v/>
      </c>
      <c r="V247" t="str">
        <f t="shared" si="45"/>
        <v/>
      </c>
      <c r="W247" t="str">
        <f t="shared" si="46"/>
        <v/>
      </c>
      <c r="X247" t="str">
        <f t="shared" si="47"/>
        <v/>
      </c>
      <c r="Y247" t="str">
        <f>VLOOKUP($A247,Runs!$G:$G,1,FALSE)</f>
        <v>Foul Mouthed</v>
      </c>
    </row>
    <row r="248" spans="1:25" ht="22.5" customHeight="1" x14ac:dyDescent="0.25">
      <c r="A248" s="2" t="s">
        <v>143</v>
      </c>
      <c r="B248" s="2" t="s">
        <v>671</v>
      </c>
      <c r="C248" s="3">
        <v>2.7E-2</v>
      </c>
      <c r="D248" s="6" t="s">
        <v>105</v>
      </c>
      <c r="E248">
        <f>(30-C248*100)*VLOOKUP($D248,Calc!$A$1:$C$6,3,FALSE)</f>
        <v>27.3</v>
      </c>
      <c r="F248" s="6">
        <f>VLOOKUP(D248,Calc!$A$1:$B$6,2,FALSE)</f>
        <v>2</v>
      </c>
      <c r="G248" s="10">
        <f t="shared" si="36"/>
        <v>2.7199999999999998E-2</v>
      </c>
      <c r="H248" s="9">
        <f t="shared" si="37"/>
        <v>4.6E-5</v>
      </c>
      <c r="I248" s="10">
        <f t="shared" si="38"/>
        <v>2.7204599999999999E-2</v>
      </c>
      <c r="J248" s="10">
        <f t="shared" si="39"/>
        <v>2.7204599999999999E-2</v>
      </c>
      <c r="K248" s="10" t="str">
        <f t="shared" si="40"/>
        <v/>
      </c>
      <c r="L248" s="9">
        <f t="shared" si="41"/>
        <v>1.9727954000000001</v>
      </c>
      <c r="M248" s="9">
        <f t="shared" si="42"/>
        <v>1.9727954000000001</v>
      </c>
      <c r="N248" s="9" t="str">
        <f t="shared" si="43"/>
        <v/>
      </c>
      <c r="O248" s="4" t="s">
        <v>755</v>
      </c>
      <c r="P248" s="1" t="s">
        <v>1667</v>
      </c>
      <c r="Q248" s="7" t="s">
        <v>932</v>
      </c>
      <c r="R248" s="7" t="s">
        <v>933</v>
      </c>
      <c r="S248" s="8" t="s">
        <v>934</v>
      </c>
      <c r="T248" s="7"/>
      <c r="U248" t="str">
        <f t="shared" si="44"/>
        <v/>
      </c>
      <c r="V248" t="str">
        <f t="shared" si="45"/>
        <v/>
      </c>
      <c r="W248" t="str">
        <f t="shared" si="46"/>
        <v/>
      </c>
      <c r="X248" t="str">
        <f t="shared" si="47"/>
        <v/>
      </c>
      <c r="Y248" t="e">
        <f>VLOOKUP($A248,Runs!$G:$G,1,FALSE)</f>
        <v>#N/A</v>
      </c>
    </row>
    <row r="249" spans="1:25" ht="22.5" customHeight="1" x14ac:dyDescent="0.25">
      <c r="A249" s="2" t="s">
        <v>104</v>
      </c>
      <c r="B249" s="2" t="s">
        <v>658</v>
      </c>
      <c r="C249" s="3">
        <v>2.7E-2</v>
      </c>
      <c r="D249" s="6" t="s">
        <v>105</v>
      </c>
      <c r="E249">
        <f>(30-C249*100)*VLOOKUP($D249,Calc!$A$1:$C$6,3,FALSE)</f>
        <v>27.3</v>
      </c>
      <c r="F249" s="6">
        <f>VLOOKUP(D249,Calc!$A$1:$B$6,2,FALSE)</f>
        <v>2</v>
      </c>
      <c r="G249" s="10">
        <f t="shared" si="36"/>
        <v>2.7199999999999998E-2</v>
      </c>
      <c r="H249" s="9">
        <f t="shared" si="37"/>
        <v>3.3000000000000003E-5</v>
      </c>
      <c r="I249" s="10">
        <f t="shared" si="38"/>
        <v>2.72033E-2</v>
      </c>
      <c r="J249" s="10">
        <f t="shared" si="39"/>
        <v>2.72033E-2</v>
      </c>
      <c r="K249" s="10" t="str">
        <f t="shared" si="40"/>
        <v/>
      </c>
      <c r="L249" s="9">
        <f t="shared" si="41"/>
        <v>1.9727967</v>
      </c>
      <c r="M249" s="9">
        <f t="shared" si="42"/>
        <v>1.9727967</v>
      </c>
      <c r="N249" s="9" t="str">
        <f t="shared" si="43"/>
        <v/>
      </c>
      <c r="O249" s="4" t="s">
        <v>755</v>
      </c>
      <c r="P249" s="1" t="s">
        <v>1665</v>
      </c>
      <c r="Q249" s="7" t="s">
        <v>785</v>
      </c>
      <c r="R249" s="7" t="s">
        <v>786</v>
      </c>
      <c r="S249" s="8" t="s">
        <v>787</v>
      </c>
      <c r="T249" s="7"/>
      <c r="U249" t="str">
        <f t="shared" si="44"/>
        <v/>
      </c>
      <c r="V249" t="str">
        <f t="shared" si="45"/>
        <v/>
      </c>
      <c r="W249" t="str">
        <f t="shared" si="46"/>
        <v/>
      </c>
      <c r="X249" t="str">
        <f t="shared" si="47"/>
        <v/>
      </c>
      <c r="Y249" t="e">
        <f>VLOOKUP($A249,Runs!$G:$G,1,FALSE)</f>
        <v>#N/A</v>
      </c>
    </row>
    <row r="250" spans="1:25" ht="22.5" customHeight="1" x14ac:dyDescent="0.25">
      <c r="A250" s="2" t="s">
        <v>263</v>
      </c>
      <c r="B250" s="2" t="s">
        <v>264</v>
      </c>
      <c r="C250" s="3">
        <v>2.7E-2</v>
      </c>
      <c r="D250" s="6" t="s">
        <v>242</v>
      </c>
      <c r="E250">
        <f>(30-C250*100)*VLOOKUP($D250,Calc!$A$1:$C$6,3,FALSE)</f>
        <v>68.25</v>
      </c>
      <c r="F250" s="6">
        <f>VLOOKUP(D250,Calc!$A$1:$B$6,2,FALSE)</f>
        <v>3</v>
      </c>
      <c r="G250" s="10">
        <f t="shared" si="36"/>
        <v>2.7300000000000001E-2</v>
      </c>
      <c r="H250" s="9">
        <f t="shared" si="37"/>
        <v>1.4E-5</v>
      </c>
      <c r="I250" s="10">
        <f t="shared" si="38"/>
        <v>2.73014E-2</v>
      </c>
      <c r="J250" s="10">
        <f t="shared" si="39"/>
        <v>2.73014E-2</v>
      </c>
      <c r="K250" s="10" t="str">
        <f t="shared" si="40"/>
        <v/>
      </c>
      <c r="L250" s="9">
        <f t="shared" si="41"/>
        <v>2.9726986000000002</v>
      </c>
      <c r="M250" s="9">
        <f t="shared" si="42"/>
        <v>2.9726986000000002</v>
      </c>
      <c r="N250" s="9" t="str">
        <f t="shared" si="43"/>
        <v/>
      </c>
      <c r="O250" s="4" t="s">
        <v>755</v>
      </c>
      <c r="P250" s="1" t="s">
        <v>762</v>
      </c>
      <c r="Q250" s="7"/>
      <c r="R250" s="7" t="s">
        <v>1064</v>
      </c>
      <c r="S250" s="8" t="s">
        <v>1065</v>
      </c>
      <c r="T250" s="7"/>
      <c r="U250" t="str">
        <f t="shared" si="44"/>
        <v/>
      </c>
      <c r="V250" t="str">
        <f t="shared" si="45"/>
        <v/>
      </c>
      <c r="W250" t="str">
        <f t="shared" si="46"/>
        <v/>
      </c>
      <c r="X250" t="str">
        <f t="shared" si="47"/>
        <v/>
      </c>
      <c r="Y250" t="e">
        <f>VLOOKUP($A250,Runs!$G:$G,1,FALSE)</f>
        <v>#N/A</v>
      </c>
    </row>
    <row r="251" spans="1:25" ht="22.5" customHeight="1" x14ac:dyDescent="0.25">
      <c r="A251" s="2" t="s">
        <v>166</v>
      </c>
      <c r="B251" s="2" t="s">
        <v>167</v>
      </c>
      <c r="C251" s="3">
        <v>2.8000000000000001E-2</v>
      </c>
      <c r="D251" s="6" t="s">
        <v>105</v>
      </c>
      <c r="E251">
        <f>(30-C251*100)*VLOOKUP($D251,Calc!$A$1:$C$6,3,FALSE)</f>
        <v>27.2</v>
      </c>
      <c r="F251" s="6">
        <f>VLOOKUP(D251,Calc!$A$1:$B$6,2,FALSE)</f>
        <v>2</v>
      </c>
      <c r="G251" s="10">
        <f t="shared" si="36"/>
        <v>2.8199999999999999E-2</v>
      </c>
      <c r="H251" s="9">
        <f t="shared" si="37"/>
        <v>1.15E-4</v>
      </c>
      <c r="I251" s="10">
        <f t="shared" si="38"/>
        <v>2.82115E-2</v>
      </c>
      <c r="J251" s="10">
        <f t="shared" si="39"/>
        <v>2.82115E-2</v>
      </c>
      <c r="K251" s="10" t="str">
        <f t="shared" si="40"/>
        <v/>
      </c>
      <c r="L251" s="9">
        <f t="shared" si="41"/>
        <v>1.9717884999999999</v>
      </c>
      <c r="M251" s="9">
        <f t="shared" si="42"/>
        <v>1.9717884999999999</v>
      </c>
      <c r="N251" s="9" t="str">
        <f t="shared" si="43"/>
        <v/>
      </c>
      <c r="O251" s="4" t="s">
        <v>755</v>
      </c>
      <c r="P251" s="1" t="s">
        <v>1678</v>
      </c>
      <c r="Q251" s="7"/>
      <c r="R251" s="7" t="s">
        <v>971</v>
      </c>
      <c r="S251" s="8" t="s">
        <v>972</v>
      </c>
      <c r="T251" s="7"/>
      <c r="U251" t="str">
        <f t="shared" si="44"/>
        <v/>
      </c>
      <c r="V251" t="str">
        <f t="shared" si="45"/>
        <v/>
      </c>
      <c r="W251" t="str">
        <f t="shared" si="46"/>
        <v/>
      </c>
      <c r="X251" t="str">
        <f t="shared" si="47"/>
        <v/>
      </c>
      <c r="Y251" t="e">
        <f>VLOOKUP($A251,Runs!$G:$G,1,FALSE)</f>
        <v>#N/A</v>
      </c>
    </row>
    <row r="252" spans="1:25" ht="22.5" customHeight="1" x14ac:dyDescent="0.25">
      <c r="A252" s="2" t="s">
        <v>112</v>
      </c>
      <c r="B252" s="2" t="s">
        <v>643</v>
      </c>
      <c r="C252" s="3">
        <v>2.8000000000000001E-2</v>
      </c>
      <c r="D252" s="6" t="s">
        <v>105</v>
      </c>
      <c r="E252">
        <f>(30-C252*100)*VLOOKUP($D252,Calc!$A$1:$C$6,3,FALSE)</f>
        <v>27.2</v>
      </c>
      <c r="F252" s="6">
        <f>VLOOKUP(D252,Calc!$A$1:$B$6,2,FALSE)</f>
        <v>2</v>
      </c>
      <c r="G252" s="10">
        <f t="shared" si="36"/>
        <v>2.8199999999999999E-2</v>
      </c>
      <c r="H252" s="9">
        <f t="shared" si="37"/>
        <v>5.0000000000000002E-5</v>
      </c>
      <c r="I252" s="10">
        <f t="shared" si="38"/>
        <v>2.8205000000000001E-2</v>
      </c>
      <c r="J252" s="10">
        <f t="shared" si="39"/>
        <v>2.8205000000000001E-2</v>
      </c>
      <c r="K252" s="10" t="str">
        <f t="shared" si="40"/>
        <v/>
      </c>
      <c r="L252" s="9">
        <f t="shared" si="41"/>
        <v>1.971795</v>
      </c>
      <c r="M252" s="9">
        <f t="shared" si="42"/>
        <v>1.971795</v>
      </c>
      <c r="N252" s="9" t="str">
        <f t="shared" si="43"/>
        <v/>
      </c>
      <c r="O252" s="4" t="s">
        <v>755</v>
      </c>
      <c r="P252" s="1" t="s">
        <v>1684</v>
      </c>
      <c r="Q252" s="7"/>
      <c r="R252" s="8" t="s">
        <v>880</v>
      </c>
      <c r="S252" s="7"/>
      <c r="T252" s="7"/>
      <c r="U252" t="str">
        <f t="shared" si="44"/>
        <v/>
      </c>
      <c r="V252" t="str">
        <f t="shared" si="45"/>
        <v/>
      </c>
      <c r="W252" t="str">
        <f t="shared" si="46"/>
        <v/>
      </c>
      <c r="X252" t="str">
        <f t="shared" si="47"/>
        <v/>
      </c>
      <c r="Y252" t="e">
        <f>VLOOKUP($A252,Runs!$G:$G,1,FALSE)</f>
        <v>#N/A</v>
      </c>
    </row>
    <row r="253" spans="1:25" ht="22.5" customHeight="1" x14ac:dyDescent="0.25">
      <c r="A253" s="2" t="s">
        <v>285</v>
      </c>
      <c r="B253" s="2" t="s">
        <v>286</v>
      </c>
      <c r="C253" s="3">
        <v>2.8000000000000001E-2</v>
      </c>
      <c r="D253" s="6" t="s">
        <v>242</v>
      </c>
      <c r="E253">
        <f>(30-C253*100)*VLOOKUP($D253,Calc!$A$1:$C$6,3,FALSE)</f>
        <v>68</v>
      </c>
      <c r="F253" s="6">
        <f>VLOOKUP(D253,Calc!$A$1:$B$6,2,FALSE)</f>
        <v>3</v>
      </c>
      <c r="G253" s="10">
        <f t="shared" si="36"/>
        <v>2.8300000000000002E-2</v>
      </c>
      <c r="H253" s="9">
        <f t="shared" si="37"/>
        <v>3.0000000000000001E-5</v>
      </c>
      <c r="I253" s="10">
        <f t="shared" si="38"/>
        <v>2.8303000000000002E-2</v>
      </c>
      <c r="J253" s="10">
        <f t="shared" si="39"/>
        <v>2.8303000000000002E-2</v>
      </c>
      <c r="K253" s="10" t="str">
        <f t="shared" si="40"/>
        <v/>
      </c>
      <c r="L253" s="9">
        <f t="shared" si="41"/>
        <v>2.9716969999999998</v>
      </c>
      <c r="M253" s="9">
        <f t="shared" si="42"/>
        <v>2.9716969999999998</v>
      </c>
      <c r="N253" s="9" t="str">
        <f t="shared" si="43"/>
        <v/>
      </c>
      <c r="O253" s="4" t="s">
        <v>755</v>
      </c>
      <c r="P253" s="1" t="s">
        <v>1675</v>
      </c>
      <c r="Q253" s="7" t="s">
        <v>881</v>
      </c>
      <c r="R253" s="7" t="s">
        <v>1103</v>
      </c>
      <c r="S253" s="8" t="s">
        <v>1104</v>
      </c>
      <c r="T253" s="7"/>
      <c r="U253" t="str">
        <f t="shared" si="44"/>
        <v/>
      </c>
      <c r="V253" t="str">
        <f t="shared" si="45"/>
        <v/>
      </c>
      <c r="W253" t="str">
        <f t="shared" si="46"/>
        <v/>
      </c>
      <c r="X253" t="str">
        <f t="shared" si="47"/>
        <v/>
      </c>
      <c r="Y253" t="e">
        <f>VLOOKUP($A253,Runs!$G:$G,1,FALSE)</f>
        <v>#N/A</v>
      </c>
    </row>
    <row r="254" spans="1:25" ht="22.5" customHeight="1" x14ac:dyDescent="0.25">
      <c r="A254" s="2" t="s">
        <v>168</v>
      </c>
      <c r="B254" s="2" t="s">
        <v>169</v>
      </c>
      <c r="C254" s="3">
        <v>2.9000000000000001E-2</v>
      </c>
      <c r="D254" s="6" t="s">
        <v>105</v>
      </c>
      <c r="E254">
        <f>(30-C254*100)*VLOOKUP($D254,Calc!$A$1:$C$6,3,FALSE)</f>
        <v>27.1</v>
      </c>
      <c r="F254" s="6">
        <f>VLOOKUP(D254,Calc!$A$1:$B$6,2,FALSE)</f>
        <v>2</v>
      </c>
      <c r="G254" s="10">
        <f t="shared" si="36"/>
        <v>2.92E-2</v>
      </c>
      <c r="H254" s="9">
        <f t="shared" si="37"/>
        <v>6.6000000000000005E-5</v>
      </c>
      <c r="I254" s="10">
        <f t="shared" si="38"/>
        <v>2.9206599999999999E-2</v>
      </c>
      <c r="J254" s="10">
        <f t="shared" si="39"/>
        <v>2.9206599999999999E-2</v>
      </c>
      <c r="K254" s="10" t="str">
        <f t="shared" si="40"/>
        <v/>
      </c>
      <c r="L254" s="9">
        <f t="shared" si="41"/>
        <v>1.9707934</v>
      </c>
      <c r="M254" s="9">
        <f t="shared" si="42"/>
        <v>1.9707934</v>
      </c>
      <c r="N254" s="9" t="str">
        <f t="shared" si="43"/>
        <v/>
      </c>
      <c r="O254" s="4" t="s">
        <v>755</v>
      </c>
      <c r="P254" s="1" t="s">
        <v>1879</v>
      </c>
      <c r="Q254" s="7" t="s">
        <v>973</v>
      </c>
      <c r="R254" s="7" t="s">
        <v>974</v>
      </c>
      <c r="S254" s="8" t="s">
        <v>975</v>
      </c>
      <c r="T254" s="7"/>
      <c r="U254" t="str">
        <f t="shared" si="44"/>
        <v/>
      </c>
      <c r="V254" t="str">
        <f t="shared" si="45"/>
        <v/>
      </c>
      <c r="W254" t="str">
        <f t="shared" si="46"/>
        <v/>
      </c>
      <c r="X254" t="str">
        <f t="shared" si="47"/>
        <v/>
      </c>
      <c r="Y254" t="str">
        <f>VLOOKUP($A254,Runs!$G:$G,1,FALSE)</f>
        <v>Nobody wants to die</v>
      </c>
    </row>
    <row r="255" spans="1:25" ht="22.5" customHeight="1" x14ac:dyDescent="0.25">
      <c r="A255" s="2" t="s">
        <v>493</v>
      </c>
      <c r="B255" s="2" t="s">
        <v>494</v>
      </c>
      <c r="C255" s="3">
        <v>2.9000000000000001E-2</v>
      </c>
      <c r="D255" s="6" t="s">
        <v>434</v>
      </c>
      <c r="E255">
        <f>(30-C255*100)*VLOOKUP($D255,Calc!$A$1:$C$6,3,FALSE)</f>
        <v>135.5</v>
      </c>
      <c r="F255" s="6">
        <f>VLOOKUP(D255,Calc!$A$1:$B$6,2,FALSE)</f>
        <v>4</v>
      </c>
      <c r="G255" s="10">
        <f t="shared" si="36"/>
        <v>2.9400000000000003E-2</v>
      </c>
      <c r="H255" s="9">
        <f t="shared" si="37"/>
        <v>5.8999999999999998E-5</v>
      </c>
      <c r="I255" s="10">
        <f t="shared" si="38"/>
        <v>2.9405900000000002E-2</v>
      </c>
      <c r="J255" s="10" t="str">
        <f t="shared" si="39"/>
        <v/>
      </c>
      <c r="K255" s="10">
        <f t="shared" si="40"/>
        <v>2.9405900000000002E-2</v>
      </c>
      <c r="L255" s="9">
        <f t="shared" si="41"/>
        <v>3.9705941</v>
      </c>
      <c r="M255" s="9" t="str">
        <f t="shared" si="42"/>
        <v/>
      </c>
      <c r="N255" s="9">
        <f t="shared" si="43"/>
        <v>3.9705941</v>
      </c>
      <c r="O255" s="4"/>
      <c r="Q255" s="7" t="s">
        <v>1033</v>
      </c>
      <c r="R255" s="7" t="s">
        <v>1376</v>
      </c>
      <c r="S255" s="8" t="s">
        <v>1377</v>
      </c>
      <c r="T255" s="7"/>
      <c r="U255" t="str">
        <f t="shared" si="44"/>
        <v/>
      </c>
      <c r="V255" t="str">
        <f t="shared" si="45"/>
        <v/>
      </c>
      <c r="W255">
        <f t="shared" si="46"/>
        <v>2.9405900000000002E-2</v>
      </c>
      <c r="X255" t="str">
        <f t="shared" si="47"/>
        <v/>
      </c>
      <c r="Y255" t="str">
        <f>VLOOKUP($A255,Runs!$G:$G,1,FALSE)</f>
        <v>Master of India</v>
      </c>
    </row>
    <row r="256" spans="1:25" ht="22.5" customHeight="1" x14ac:dyDescent="0.25">
      <c r="A256" s="2" t="s">
        <v>231</v>
      </c>
      <c r="B256" s="2" t="s">
        <v>232</v>
      </c>
      <c r="C256" s="3">
        <v>0.03</v>
      </c>
      <c r="D256" s="6" t="s">
        <v>105</v>
      </c>
      <c r="E256">
        <f>(30-C256*100)*VLOOKUP($D256,Calc!$A$1:$C$6,3,FALSE)</f>
        <v>27</v>
      </c>
      <c r="F256" s="6">
        <f>VLOOKUP(D256,Calc!$A$1:$B$6,2,FALSE)</f>
        <v>2</v>
      </c>
      <c r="G256" s="10">
        <f t="shared" si="36"/>
        <v>3.0199999999999998E-2</v>
      </c>
      <c r="H256" s="9">
        <f t="shared" si="37"/>
        <v>2.1999999999999999E-5</v>
      </c>
      <c r="I256" s="10">
        <f t="shared" si="38"/>
        <v>3.0202199999999998E-2</v>
      </c>
      <c r="J256" s="10">
        <f t="shared" si="39"/>
        <v>3.0202199999999998E-2</v>
      </c>
      <c r="K256" s="10" t="str">
        <f t="shared" si="40"/>
        <v/>
      </c>
      <c r="L256" s="9">
        <f t="shared" si="41"/>
        <v>1.9697978</v>
      </c>
      <c r="M256" s="9">
        <f t="shared" si="42"/>
        <v>1.9697978</v>
      </c>
      <c r="N256" s="9" t="str">
        <f t="shared" si="43"/>
        <v/>
      </c>
      <c r="O256" s="4" t="s">
        <v>755</v>
      </c>
      <c r="P256" s="1" t="s">
        <v>1693</v>
      </c>
      <c r="Q256" s="7"/>
      <c r="R256" s="8" t="s">
        <v>1332</v>
      </c>
      <c r="S256" s="7"/>
      <c r="T256" s="7"/>
      <c r="U256" t="str">
        <f t="shared" si="44"/>
        <v/>
      </c>
      <c r="V256" t="str">
        <f t="shared" si="45"/>
        <v/>
      </c>
      <c r="W256" t="str">
        <f t="shared" si="46"/>
        <v/>
      </c>
      <c r="X256" t="str">
        <f t="shared" si="47"/>
        <v/>
      </c>
      <c r="Y256" t="e">
        <f>VLOOKUP($A256,Runs!$G:$G,1,FALSE)</f>
        <v>#N/A</v>
      </c>
    </row>
    <row r="257" spans="1:25" ht="22.5" customHeight="1" x14ac:dyDescent="0.25">
      <c r="A257" s="2" t="s">
        <v>340</v>
      </c>
      <c r="B257" s="2" t="s">
        <v>341</v>
      </c>
      <c r="C257" s="3">
        <v>0.03</v>
      </c>
      <c r="D257" s="6" t="s">
        <v>242</v>
      </c>
      <c r="E257">
        <f>(30-C257*100)*VLOOKUP($D257,Calc!$A$1:$C$6,3,FALSE)</f>
        <v>67.5</v>
      </c>
      <c r="F257" s="6">
        <f>VLOOKUP(D257,Calc!$A$1:$B$6,2,FALSE)</f>
        <v>3</v>
      </c>
      <c r="G257" s="10">
        <f t="shared" si="36"/>
        <v>3.0300000000000001E-2</v>
      </c>
      <c r="H257" s="9">
        <f t="shared" si="37"/>
        <v>4.6999999999999997E-5</v>
      </c>
      <c r="I257" s="10">
        <f t="shared" si="38"/>
        <v>3.03047E-2</v>
      </c>
      <c r="J257" s="10">
        <f t="shared" si="39"/>
        <v>3.03047E-2</v>
      </c>
      <c r="K257" s="10" t="str">
        <f t="shared" si="40"/>
        <v/>
      </c>
      <c r="L257" s="9">
        <f t="shared" si="41"/>
        <v>2.9696953000000001</v>
      </c>
      <c r="M257" s="9">
        <f t="shared" si="42"/>
        <v>2.9696953000000001</v>
      </c>
      <c r="N257" s="9" t="str">
        <f t="shared" si="43"/>
        <v/>
      </c>
      <c r="O257" s="4" t="s">
        <v>755</v>
      </c>
      <c r="P257" s="1" t="s">
        <v>1667</v>
      </c>
      <c r="Q257" s="7" t="s">
        <v>1149</v>
      </c>
      <c r="R257" s="8" t="s">
        <v>1194</v>
      </c>
      <c r="S257" s="7"/>
      <c r="T257" s="7"/>
      <c r="U257" t="str">
        <f t="shared" si="44"/>
        <v/>
      </c>
      <c r="V257" t="str">
        <f t="shared" si="45"/>
        <v/>
      </c>
      <c r="W257" t="str">
        <f t="shared" si="46"/>
        <v/>
      </c>
      <c r="X257" t="str">
        <f t="shared" si="47"/>
        <v/>
      </c>
      <c r="Y257" t="e">
        <f>VLOOKUP($A257,Runs!$G:$G,1,FALSE)</f>
        <v>#N/A</v>
      </c>
    </row>
    <row r="258" spans="1:25" ht="22.5" customHeight="1" x14ac:dyDescent="0.25">
      <c r="A258" s="2" t="s">
        <v>202</v>
      </c>
      <c r="B258" s="2" t="s">
        <v>743</v>
      </c>
      <c r="C258" s="3">
        <v>3.1E-2</v>
      </c>
      <c r="D258" s="6" t="s">
        <v>105</v>
      </c>
      <c r="E258">
        <f>(30-C258*100)*VLOOKUP($D258,Calc!$A$1:$C$6,3,FALSE)</f>
        <v>26.9</v>
      </c>
      <c r="F258" s="6">
        <f>VLOOKUP(D258,Calc!$A$1:$B$6,2,FALSE)</f>
        <v>2</v>
      </c>
      <c r="G258" s="10">
        <f t="shared" ref="G258:G321" si="48">C258+F258/10000</f>
        <v>3.1199999999999999E-2</v>
      </c>
      <c r="H258" s="9">
        <f t="shared" ref="H258:H321" si="49">( (CODE(UPPER(LEFT(A258,1)))-64)+(CODE(UPPER(RIGHT(LEFT(A258,2),1)))-64)+(CODE(UPPER(RIGHT(LEFT(A258,3),1)))-64)+(CODE(UPPER(RIGHT(LEFT(A258,4),1)))-64)+(CODE(UPPER(RIGHT(LEFT(A258,5),1)))-64)+(CODE(UPPER(RIGHT(LEFT(A258,6),1)))-64)+(CODE(UPPER(RIGHT(LEFT(A258,7),1)))-64)+(CODE(UPPER(RIGHT(LEFT(A258,8),1)))-64) )/1000000</f>
        <v>2.9E-5</v>
      </c>
      <c r="I258" s="10">
        <f t="shared" ref="I258:I321" si="50">G258+H258/10</f>
        <v>3.1202899999999999E-2</v>
      </c>
      <c r="J258" s="10">
        <f t="shared" ref="J258:J321" si="51">IF($O258="","",I258)</f>
        <v>3.1202899999999999E-2</v>
      </c>
      <c r="K258" s="10" t="str">
        <f t="shared" ref="K258:K321" si="52">IF($O258="",I258,"")</f>
        <v/>
      </c>
      <c r="L258" s="9">
        <f t="shared" ref="L258:L321" si="53">F258-I258</f>
        <v>1.9687971</v>
      </c>
      <c r="M258" s="9">
        <f t="shared" ref="M258:M321" si="54">IF($O258="","",L258)</f>
        <v>1.9687971</v>
      </c>
      <c r="N258" s="9" t="str">
        <f t="shared" ref="N258:N321" si="55">IF($O258="",L258,"")</f>
        <v/>
      </c>
      <c r="O258" s="4" t="s">
        <v>755</v>
      </c>
      <c r="P258" s="1" t="s">
        <v>1663</v>
      </c>
      <c r="Q258" s="7" t="s">
        <v>1033</v>
      </c>
      <c r="R258" s="7" t="s">
        <v>1034</v>
      </c>
      <c r="S258" s="8" t="s">
        <v>1035</v>
      </c>
      <c r="T258" s="7"/>
      <c r="U258" t="str">
        <f t="shared" ref="U258:U321" si="56">IF($D258="E",K258,"")</f>
        <v/>
      </c>
      <c r="V258" t="str">
        <f t="shared" ref="V258:V321" si="57">IF($D258="M",K258,"")</f>
        <v/>
      </c>
      <c r="W258" t="str">
        <f t="shared" ref="W258:W321" si="58">IF($D258="H",K258,"")</f>
        <v/>
      </c>
      <c r="X258" t="str">
        <f t="shared" ref="X258:X321" si="59">IF($D258="VE",K258,"")</f>
        <v/>
      </c>
      <c r="Y258" t="e">
        <f>VLOOKUP($A258,Runs!$G:$G,1,FALSE)</f>
        <v>#N/A</v>
      </c>
    </row>
    <row r="259" spans="1:25" ht="22.5" customHeight="1" x14ac:dyDescent="0.25">
      <c r="A259" s="2" t="s">
        <v>196</v>
      </c>
      <c r="B259" s="2" t="s">
        <v>197</v>
      </c>
      <c r="C259" s="3">
        <v>3.1E-2</v>
      </c>
      <c r="D259" s="6" t="s">
        <v>105</v>
      </c>
      <c r="E259">
        <f>(30-C259*100)*VLOOKUP($D259,Calc!$A$1:$C$6,3,FALSE)</f>
        <v>26.9</v>
      </c>
      <c r="F259" s="6">
        <f>VLOOKUP(D259,Calc!$A$1:$B$6,2,FALSE)</f>
        <v>2</v>
      </c>
      <c r="G259" s="10">
        <f t="shared" si="48"/>
        <v>3.1199999999999999E-2</v>
      </c>
      <c r="H259" s="9">
        <f t="shared" si="49"/>
        <v>6.0000000000000002E-5</v>
      </c>
      <c r="I259" s="10">
        <f t="shared" si="50"/>
        <v>3.1205999999999998E-2</v>
      </c>
      <c r="J259" s="10">
        <f t="shared" si="51"/>
        <v>3.1205999999999998E-2</v>
      </c>
      <c r="K259" s="10" t="str">
        <f t="shared" si="52"/>
        <v/>
      </c>
      <c r="L259" s="9">
        <f t="shared" si="53"/>
        <v>1.9687939999999999</v>
      </c>
      <c r="M259" s="9">
        <f t="shared" si="54"/>
        <v>1.9687939999999999</v>
      </c>
      <c r="N259" s="9" t="str">
        <f t="shared" si="55"/>
        <v/>
      </c>
      <c r="O259" s="4" t="s">
        <v>755</v>
      </c>
      <c r="P259" s="1" t="s">
        <v>1676</v>
      </c>
      <c r="Q259" s="7" t="s">
        <v>1022</v>
      </c>
      <c r="R259" s="8" t="s">
        <v>1023</v>
      </c>
      <c r="S259" s="7"/>
      <c r="T259" s="7"/>
      <c r="U259" t="str">
        <f t="shared" si="56"/>
        <v/>
      </c>
      <c r="V259" t="str">
        <f t="shared" si="57"/>
        <v/>
      </c>
      <c r="W259" t="str">
        <f t="shared" si="58"/>
        <v/>
      </c>
      <c r="X259" t="str">
        <f t="shared" si="59"/>
        <v/>
      </c>
      <c r="Y259" t="e">
        <f>VLOOKUP($A259,Runs!$G:$G,1,FALSE)</f>
        <v>#N/A</v>
      </c>
    </row>
    <row r="260" spans="1:25" ht="22.5" customHeight="1" x14ac:dyDescent="0.25">
      <c r="A260" s="2" t="s">
        <v>364</v>
      </c>
      <c r="B260" s="2" t="s">
        <v>365</v>
      </c>
      <c r="C260" s="3">
        <v>3.1E-2</v>
      </c>
      <c r="D260" s="6" t="s">
        <v>242</v>
      </c>
      <c r="E260">
        <f>(30-C260*100)*VLOOKUP($D260,Calc!$A$1:$C$6,3,FALSE)</f>
        <v>67.25</v>
      </c>
      <c r="F260" s="6">
        <f>VLOOKUP(D260,Calc!$A$1:$B$6,2,FALSE)</f>
        <v>3</v>
      </c>
      <c r="G260" s="10">
        <f t="shared" si="48"/>
        <v>3.1300000000000001E-2</v>
      </c>
      <c r="H260" s="9">
        <f t="shared" si="49"/>
        <v>5.5999999999999999E-5</v>
      </c>
      <c r="I260" s="10">
        <f t="shared" si="50"/>
        <v>3.1305600000000003E-2</v>
      </c>
      <c r="J260" s="10">
        <f t="shared" si="51"/>
        <v>3.1305600000000003E-2</v>
      </c>
      <c r="K260" s="10" t="str">
        <f t="shared" si="52"/>
        <v/>
      </c>
      <c r="L260" s="9">
        <f t="shared" si="53"/>
        <v>2.9686944</v>
      </c>
      <c r="M260" s="9">
        <f t="shared" si="54"/>
        <v>2.9686944</v>
      </c>
      <c r="N260" s="9" t="str">
        <f t="shared" si="55"/>
        <v/>
      </c>
      <c r="O260" s="4" t="s">
        <v>755</v>
      </c>
      <c r="P260" s="1" t="s">
        <v>1663</v>
      </c>
      <c r="Q260" s="7" t="s">
        <v>1033</v>
      </c>
      <c r="R260" s="7" t="s">
        <v>1237</v>
      </c>
      <c r="S260" s="8" t="s">
        <v>1238</v>
      </c>
      <c r="T260" s="7"/>
      <c r="U260" t="str">
        <f t="shared" si="56"/>
        <v/>
      </c>
      <c r="V260" t="str">
        <f t="shared" si="57"/>
        <v/>
      </c>
      <c r="W260" t="str">
        <f t="shared" si="58"/>
        <v/>
      </c>
      <c r="X260" t="str">
        <f t="shared" si="59"/>
        <v/>
      </c>
      <c r="Y260" t="e">
        <f>VLOOKUP($A260,Runs!$G:$G,1,FALSE)</f>
        <v>#N/A</v>
      </c>
    </row>
    <row r="261" spans="1:25" ht="22.5" customHeight="1" x14ac:dyDescent="0.25">
      <c r="A261" s="2" t="s">
        <v>275</v>
      </c>
      <c r="B261" s="2" t="s">
        <v>276</v>
      </c>
      <c r="C261" s="3">
        <v>3.1E-2</v>
      </c>
      <c r="D261" s="6" t="s">
        <v>242</v>
      </c>
      <c r="E261">
        <f>(30-C261*100)*VLOOKUP($D261,Calc!$A$1:$C$6,3,FALSE)</f>
        <v>67.25</v>
      </c>
      <c r="F261" s="6">
        <f>VLOOKUP(D261,Calc!$A$1:$B$6,2,FALSE)</f>
        <v>3</v>
      </c>
      <c r="G261" s="10">
        <f t="shared" si="48"/>
        <v>3.1300000000000001E-2</v>
      </c>
      <c r="H261" s="9">
        <f t="shared" si="49"/>
        <v>7.2000000000000002E-5</v>
      </c>
      <c r="I261" s="10">
        <f t="shared" si="50"/>
        <v>3.13072E-2</v>
      </c>
      <c r="J261" s="10" t="str">
        <f t="shared" si="51"/>
        <v/>
      </c>
      <c r="K261" s="10">
        <f t="shared" si="52"/>
        <v>3.13072E-2</v>
      </c>
      <c r="L261" s="9">
        <f t="shared" si="53"/>
        <v>2.9686927999999999</v>
      </c>
      <c r="M261" s="9" t="str">
        <f t="shared" si="54"/>
        <v/>
      </c>
      <c r="N261" s="9">
        <f t="shared" si="55"/>
        <v>2.9686927999999999</v>
      </c>
      <c r="O261" s="4"/>
      <c r="Q261" s="7"/>
      <c r="R261" s="7" t="s">
        <v>1086</v>
      </c>
      <c r="S261" s="8" t="s">
        <v>1087</v>
      </c>
      <c r="T261" s="7"/>
      <c r="U261" t="str">
        <f t="shared" si="56"/>
        <v/>
      </c>
      <c r="V261">
        <f t="shared" si="57"/>
        <v>3.13072E-2</v>
      </c>
      <c r="W261" t="str">
        <f t="shared" si="58"/>
        <v/>
      </c>
      <c r="X261" t="str">
        <f t="shared" si="59"/>
        <v/>
      </c>
      <c r="Y261" t="str">
        <f>VLOOKUP($A261,Runs!$G:$G,1,FALSE)</f>
        <v>Definitely the Sultan of Rum</v>
      </c>
    </row>
    <row r="262" spans="1:25" ht="22.5" customHeight="1" x14ac:dyDescent="0.25">
      <c r="A262" s="2" t="s">
        <v>48</v>
      </c>
      <c r="B262" s="2" t="s">
        <v>718</v>
      </c>
      <c r="C262" s="3">
        <v>3.1E-2</v>
      </c>
      <c r="D262" s="6" t="s">
        <v>2</v>
      </c>
      <c r="E262">
        <f>(30-C262*100)*VLOOKUP($D262,Calc!$A$1:$C$6,3,FALSE)</f>
        <v>13.45</v>
      </c>
      <c r="F262" s="6">
        <f>VLOOKUP(D262,Calc!$A$1:$B$6,2,FALSE)</f>
        <v>1</v>
      </c>
      <c r="G262" s="10">
        <f t="shared" si="48"/>
        <v>3.1099999999999999E-2</v>
      </c>
      <c r="H262" s="9">
        <f t="shared" si="49"/>
        <v>1.0900000000000001E-4</v>
      </c>
      <c r="I262" s="10">
        <f t="shared" si="50"/>
        <v>3.11109E-2</v>
      </c>
      <c r="J262" s="10">
        <f t="shared" si="51"/>
        <v>3.11109E-2</v>
      </c>
      <c r="K262" s="10" t="str">
        <f t="shared" si="52"/>
        <v/>
      </c>
      <c r="L262" s="9">
        <f t="shared" si="53"/>
        <v>0.96888909999999995</v>
      </c>
      <c r="M262" s="9">
        <f t="shared" si="54"/>
        <v>0.96888909999999995</v>
      </c>
      <c r="N262" s="9" t="str">
        <f t="shared" si="55"/>
        <v/>
      </c>
      <c r="O262" s="4" t="s">
        <v>755</v>
      </c>
      <c r="P262" s="1" t="s">
        <v>1678</v>
      </c>
      <c r="Q262" s="7"/>
      <c r="R262" s="7" t="s">
        <v>834</v>
      </c>
      <c r="S262" s="8" t="s">
        <v>835</v>
      </c>
      <c r="T262" s="7"/>
      <c r="U262" t="str">
        <f t="shared" si="56"/>
        <v/>
      </c>
      <c r="V262" t="str">
        <f t="shared" si="57"/>
        <v/>
      </c>
      <c r="W262" t="str">
        <f t="shared" si="58"/>
        <v/>
      </c>
      <c r="X262" t="str">
        <f t="shared" si="59"/>
        <v/>
      </c>
      <c r="Y262" t="e">
        <f>VLOOKUP($A262,Runs!$G:$G,1,FALSE)</f>
        <v>#N/A</v>
      </c>
    </row>
    <row r="263" spans="1:25" ht="22.5" customHeight="1" x14ac:dyDescent="0.25">
      <c r="A263" s="2" t="s">
        <v>497</v>
      </c>
      <c r="B263" s="2" t="s">
        <v>498</v>
      </c>
      <c r="C263" s="3">
        <v>3.2000000000000001E-2</v>
      </c>
      <c r="D263" s="6" t="s">
        <v>434</v>
      </c>
      <c r="E263">
        <f>(30-C263*100)*VLOOKUP($D263,Calc!$A$1:$C$6,3,FALSE)</f>
        <v>134</v>
      </c>
      <c r="F263" s="6">
        <f>VLOOKUP(D263,Calc!$A$1:$B$6,2,FALSE)</f>
        <v>4</v>
      </c>
      <c r="G263" s="10">
        <f t="shared" si="48"/>
        <v>3.2399999999999998E-2</v>
      </c>
      <c r="H263" s="9">
        <f t="shared" si="49"/>
        <v>1.7E-5</v>
      </c>
      <c r="I263" s="10">
        <f t="shared" si="50"/>
        <v>3.2401699999999999E-2</v>
      </c>
      <c r="J263" s="10">
        <f t="shared" si="51"/>
        <v>3.2401699999999999E-2</v>
      </c>
      <c r="K263" s="10" t="str">
        <f t="shared" si="52"/>
        <v/>
      </c>
      <c r="L263" s="9">
        <f t="shared" si="53"/>
        <v>3.9675983000000001</v>
      </c>
      <c r="M263" s="9">
        <f t="shared" si="54"/>
        <v>3.9675983000000001</v>
      </c>
      <c r="N263" s="9" t="str">
        <f t="shared" si="55"/>
        <v/>
      </c>
      <c r="O263" s="4" t="s">
        <v>755</v>
      </c>
      <c r="P263" s="1" t="s">
        <v>1663</v>
      </c>
      <c r="Q263" s="7"/>
      <c r="R263" s="7" t="s">
        <v>1387</v>
      </c>
      <c r="S263" s="8" t="s">
        <v>1388</v>
      </c>
      <c r="T263" s="7"/>
      <c r="U263" t="str">
        <f t="shared" si="56"/>
        <v/>
      </c>
      <c r="V263" t="str">
        <f t="shared" si="57"/>
        <v/>
      </c>
      <c r="W263" t="str">
        <f t="shared" si="58"/>
        <v/>
      </c>
      <c r="X263" t="str">
        <f t="shared" si="59"/>
        <v/>
      </c>
      <c r="Y263" t="e">
        <f>VLOOKUP($A263,Runs!$G:$G,1,FALSE)</f>
        <v>#N/A</v>
      </c>
    </row>
    <row r="264" spans="1:25" ht="22.5" customHeight="1" x14ac:dyDescent="0.25">
      <c r="A264" s="2" t="s">
        <v>209</v>
      </c>
      <c r="B264" s="2" t="s">
        <v>752</v>
      </c>
      <c r="C264" s="3">
        <v>3.4000000000000002E-2</v>
      </c>
      <c r="D264" s="6" t="s">
        <v>105</v>
      </c>
      <c r="E264">
        <f>(30-C264*100)*VLOOKUP($D264,Calc!$A$1:$C$6,3,FALSE)</f>
        <v>26.6</v>
      </c>
      <c r="F264" s="6">
        <f>VLOOKUP(D264,Calc!$A$1:$B$6,2,FALSE)</f>
        <v>2</v>
      </c>
      <c r="G264" s="10">
        <f t="shared" si="48"/>
        <v>3.4200000000000001E-2</v>
      </c>
      <c r="H264" s="9">
        <f t="shared" si="49"/>
        <v>3.8000000000000002E-5</v>
      </c>
      <c r="I264" s="10">
        <f t="shared" si="50"/>
        <v>3.4203799999999999E-2</v>
      </c>
      <c r="J264" s="10" t="str">
        <f t="shared" si="51"/>
        <v/>
      </c>
      <c r="K264" s="10">
        <f t="shared" si="52"/>
        <v>3.4203799999999999E-2</v>
      </c>
      <c r="L264" s="9">
        <f t="shared" si="53"/>
        <v>1.9657962</v>
      </c>
      <c r="M264" s="9" t="str">
        <f t="shared" si="54"/>
        <v/>
      </c>
      <c r="N264" s="9">
        <f t="shared" si="55"/>
        <v>1.9657962</v>
      </c>
      <c r="O264" s="4"/>
      <c r="Q264" s="7"/>
      <c r="R264" s="7" t="s">
        <v>1050</v>
      </c>
      <c r="S264" s="8" t="s">
        <v>1051</v>
      </c>
      <c r="T264" s="7"/>
      <c r="U264">
        <f t="shared" si="56"/>
        <v>3.4203799999999999E-2</v>
      </c>
      <c r="V264" t="str">
        <f t="shared" si="57"/>
        <v/>
      </c>
      <c r="W264" t="str">
        <f t="shared" si="58"/>
        <v/>
      </c>
      <c r="X264" t="str">
        <f t="shared" si="59"/>
        <v/>
      </c>
      <c r="Y264" t="str">
        <f>VLOOKUP($A264,Runs!$G:$G,1,FALSE)</f>
        <v>Winged Hussars</v>
      </c>
    </row>
    <row r="265" spans="1:25" ht="22.5" customHeight="1" x14ac:dyDescent="0.25">
      <c r="A265" s="2" t="s">
        <v>173</v>
      </c>
      <c r="B265" s="2" t="s">
        <v>174</v>
      </c>
      <c r="C265" s="3">
        <v>3.4000000000000002E-2</v>
      </c>
      <c r="D265" s="6" t="s">
        <v>105</v>
      </c>
      <c r="E265">
        <f>(30-C265*100)*VLOOKUP($D265,Calc!$A$1:$C$6,3,FALSE)</f>
        <v>26.6</v>
      </c>
      <c r="F265" s="6">
        <f>VLOOKUP(D265,Calc!$A$1:$B$6,2,FALSE)</f>
        <v>2</v>
      </c>
      <c r="G265" s="10">
        <f t="shared" si="48"/>
        <v>3.4200000000000001E-2</v>
      </c>
      <c r="H265" s="9">
        <f t="shared" si="49"/>
        <v>4.3000000000000002E-5</v>
      </c>
      <c r="I265" s="10">
        <f t="shared" si="50"/>
        <v>3.42043E-2</v>
      </c>
      <c r="J265" s="10" t="str">
        <f t="shared" si="51"/>
        <v/>
      </c>
      <c r="K265" s="10">
        <f t="shared" si="52"/>
        <v>3.42043E-2</v>
      </c>
      <c r="L265" s="9">
        <f t="shared" si="53"/>
        <v>1.9657956999999999</v>
      </c>
      <c r="M265" s="9" t="str">
        <f t="shared" si="54"/>
        <v/>
      </c>
      <c r="N265" s="9">
        <f t="shared" si="55"/>
        <v>1.9657956999999999</v>
      </c>
      <c r="O265" s="4"/>
      <c r="Q265" s="7" t="s">
        <v>981</v>
      </c>
      <c r="R265" s="8" t="s">
        <v>982</v>
      </c>
      <c r="S265" s="7"/>
      <c r="T265" s="7"/>
      <c r="U265">
        <f t="shared" si="56"/>
        <v>3.42043E-2</v>
      </c>
      <c r="V265" t="str">
        <f t="shared" si="57"/>
        <v/>
      </c>
      <c r="W265" t="str">
        <f t="shared" si="58"/>
        <v/>
      </c>
      <c r="X265" t="str">
        <f t="shared" si="59"/>
        <v/>
      </c>
      <c r="Y265" t="str">
        <f>VLOOKUP($A265,Runs!$G:$G,1,FALSE)</f>
        <v>One King to Rule!</v>
      </c>
    </row>
    <row r="266" spans="1:25" ht="22.5" customHeight="1" x14ac:dyDescent="0.25">
      <c r="A266" s="2" t="s">
        <v>490</v>
      </c>
      <c r="B266" s="2" t="s">
        <v>696</v>
      </c>
      <c r="C266" s="3">
        <v>3.4000000000000002E-2</v>
      </c>
      <c r="D266" s="6" t="s">
        <v>434</v>
      </c>
      <c r="E266">
        <f>(30-C266*100)*VLOOKUP($D266,Calc!$A$1:$C$6,3,FALSE)</f>
        <v>133</v>
      </c>
      <c r="F266" s="6">
        <f>VLOOKUP(D266,Calc!$A$1:$B$6,2,FALSE)</f>
        <v>4</v>
      </c>
      <c r="G266" s="10">
        <f t="shared" si="48"/>
        <v>3.44E-2</v>
      </c>
      <c r="H266" s="9">
        <f t="shared" si="49"/>
        <v>5.3000000000000001E-5</v>
      </c>
      <c r="I266" s="10">
        <f t="shared" si="50"/>
        <v>3.44053E-2</v>
      </c>
      <c r="J266" s="10">
        <f t="shared" si="51"/>
        <v>3.44053E-2</v>
      </c>
      <c r="K266" s="10" t="str">
        <f t="shared" si="52"/>
        <v/>
      </c>
      <c r="L266" s="9">
        <f t="shared" si="53"/>
        <v>3.9655947</v>
      </c>
      <c r="M266" s="9">
        <f t="shared" si="54"/>
        <v>3.9655947</v>
      </c>
      <c r="N266" s="9" t="str">
        <f t="shared" si="55"/>
        <v/>
      </c>
      <c r="O266" s="4" t="s">
        <v>755</v>
      </c>
      <c r="P266" s="1" t="s">
        <v>756</v>
      </c>
      <c r="Q266" s="7" t="s">
        <v>1370</v>
      </c>
      <c r="R266" s="7" t="s">
        <v>1371</v>
      </c>
      <c r="S266" s="8" t="s">
        <v>1372</v>
      </c>
      <c r="T266" s="7"/>
      <c r="U266" t="str">
        <f t="shared" si="56"/>
        <v/>
      </c>
      <c r="V266" t="str">
        <f t="shared" si="57"/>
        <v/>
      </c>
      <c r="W266" t="str">
        <f t="shared" si="58"/>
        <v/>
      </c>
      <c r="X266" t="str">
        <f t="shared" si="59"/>
        <v/>
      </c>
      <c r="Y266" t="e">
        <f>VLOOKUP($A266,Runs!$G:$G,1,FALSE)</f>
        <v>#N/A</v>
      </c>
    </row>
    <row r="267" spans="1:25" ht="22.5" customHeight="1" x14ac:dyDescent="0.25">
      <c r="A267" s="2" t="s">
        <v>256</v>
      </c>
      <c r="B267" s="2" t="s">
        <v>257</v>
      </c>
      <c r="C267" s="3">
        <v>3.4000000000000002E-2</v>
      </c>
      <c r="D267" s="6" t="s">
        <v>242</v>
      </c>
      <c r="E267">
        <f>(30-C267*100)*VLOOKUP($D267,Calc!$A$1:$C$6,3,FALSE)</f>
        <v>66.5</v>
      </c>
      <c r="F267" s="6">
        <f>VLOOKUP(D267,Calc!$A$1:$B$6,2,FALSE)</f>
        <v>3</v>
      </c>
      <c r="G267" s="10">
        <f t="shared" si="48"/>
        <v>3.4300000000000004E-2</v>
      </c>
      <c r="H267" s="9">
        <f t="shared" si="49"/>
        <v>4.8000000000000001E-5</v>
      </c>
      <c r="I267" s="10">
        <f t="shared" si="50"/>
        <v>3.4304800000000003E-2</v>
      </c>
      <c r="J267" s="10" t="str">
        <f t="shared" si="51"/>
        <v/>
      </c>
      <c r="K267" s="10">
        <f t="shared" si="52"/>
        <v>3.4304800000000003E-2</v>
      </c>
      <c r="L267" s="9">
        <f t="shared" si="53"/>
        <v>2.9656951999999999</v>
      </c>
      <c r="M267" s="9" t="str">
        <f t="shared" si="54"/>
        <v/>
      </c>
      <c r="N267" s="9">
        <f t="shared" si="55"/>
        <v>2.9656951999999999</v>
      </c>
      <c r="O267" s="4"/>
      <c r="Q267" s="7"/>
      <c r="R267" s="7" t="s">
        <v>1027</v>
      </c>
      <c r="S267" s="8" t="s">
        <v>1028</v>
      </c>
      <c r="T267" s="7"/>
      <c r="U267" t="str">
        <f t="shared" si="56"/>
        <v/>
      </c>
      <c r="V267">
        <f t="shared" si="57"/>
        <v>3.4304800000000003E-2</v>
      </c>
      <c r="W267" t="str">
        <f t="shared" si="58"/>
        <v/>
      </c>
      <c r="X267" t="str">
        <f t="shared" si="59"/>
        <v/>
      </c>
      <c r="Y267" t="str">
        <f>VLOOKUP($A267,Runs!$G:$G,1,FALSE)</f>
        <v>The Spice Must Flow</v>
      </c>
    </row>
    <row r="268" spans="1:25" ht="22.5" customHeight="1" x14ac:dyDescent="0.25">
      <c r="A268" s="2" t="s">
        <v>259</v>
      </c>
      <c r="B268" s="2" t="s">
        <v>639</v>
      </c>
      <c r="C268" s="3">
        <v>3.5000000000000003E-2</v>
      </c>
      <c r="D268" s="6" t="s">
        <v>242</v>
      </c>
      <c r="E268">
        <f>(30-C268*100)*VLOOKUP($D268,Calc!$A$1:$C$6,3,FALSE)</f>
        <v>66.25</v>
      </c>
      <c r="F268" s="6">
        <f>VLOOKUP(D268,Calc!$A$1:$B$6,2,FALSE)</f>
        <v>3</v>
      </c>
      <c r="G268" s="10">
        <f t="shared" si="48"/>
        <v>3.5300000000000005E-2</v>
      </c>
      <c r="H268" s="9">
        <f t="shared" si="49"/>
        <v>-1.0000000000000001E-5</v>
      </c>
      <c r="I268" s="10">
        <f t="shared" si="50"/>
        <v>3.5299000000000004E-2</v>
      </c>
      <c r="J268" s="10" t="str">
        <f t="shared" si="51"/>
        <v/>
      </c>
      <c r="K268" s="10">
        <f t="shared" si="52"/>
        <v>3.5299000000000004E-2</v>
      </c>
      <c r="L268" s="9">
        <f t="shared" si="53"/>
        <v>2.9647009999999998</v>
      </c>
      <c r="M268" s="9" t="str">
        <f t="shared" si="54"/>
        <v/>
      </c>
      <c r="N268" s="9">
        <f t="shared" si="55"/>
        <v>2.9647009999999998</v>
      </c>
      <c r="O268" s="4"/>
      <c r="Q268" s="7" t="s">
        <v>1057</v>
      </c>
      <c r="R268" s="8" t="s">
        <v>1058</v>
      </c>
      <c r="S268" s="7"/>
      <c r="T268" s="7"/>
      <c r="U268" t="str">
        <f t="shared" si="56"/>
        <v/>
      </c>
      <c r="V268">
        <f t="shared" si="57"/>
        <v>3.5299000000000004E-2</v>
      </c>
      <c r="W268" t="str">
        <f t="shared" si="58"/>
        <v/>
      </c>
      <c r="X268" t="str">
        <f t="shared" si="59"/>
        <v/>
      </c>
      <c r="Y268" t="str">
        <f>VLOOKUP($A268,Runs!$G:$G,1,FALSE)</f>
        <v>A tale of two Families</v>
      </c>
    </row>
    <row r="269" spans="1:25" ht="22.5" customHeight="1" x14ac:dyDescent="0.25">
      <c r="A269" s="2" t="s">
        <v>129</v>
      </c>
      <c r="B269" s="2" t="s">
        <v>655</v>
      </c>
      <c r="C269" s="3">
        <v>3.5999999999999997E-2</v>
      </c>
      <c r="D269" s="6" t="s">
        <v>105</v>
      </c>
      <c r="E269">
        <f>(30-C269*100)*VLOOKUP($D269,Calc!$A$1:$C$6,3,FALSE)</f>
        <v>26.4</v>
      </c>
      <c r="F269" s="6">
        <f>VLOOKUP(D269,Calc!$A$1:$B$6,2,FALSE)</f>
        <v>2</v>
      </c>
      <c r="G269" s="10">
        <f t="shared" si="48"/>
        <v>3.6199999999999996E-2</v>
      </c>
      <c r="H269" s="9">
        <f t="shared" si="49"/>
        <v>8.1000000000000004E-5</v>
      </c>
      <c r="I269" s="10">
        <f t="shared" si="50"/>
        <v>3.6208099999999993E-2</v>
      </c>
      <c r="J269" s="10">
        <f t="shared" si="51"/>
        <v>3.6208099999999993E-2</v>
      </c>
      <c r="K269" s="10" t="str">
        <f t="shared" si="52"/>
        <v/>
      </c>
      <c r="L269" s="9">
        <f t="shared" si="53"/>
        <v>1.9637918999999999</v>
      </c>
      <c r="M269" s="9">
        <f t="shared" si="54"/>
        <v>1.9637918999999999</v>
      </c>
      <c r="N269" s="9" t="str">
        <f t="shared" si="55"/>
        <v/>
      </c>
      <c r="O269" s="4" t="s">
        <v>755</v>
      </c>
      <c r="P269" s="1" t="s">
        <v>1676</v>
      </c>
      <c r="Q269" s="7"/>
      <c r="R269" s="7" t="s">
        <v>911</v>
      </c>
      <c r="S269" s="8" t="s">
        <v>912</v>
      </c>
      <c r="T269" s="7"/>
      <c r="U269" t="str">
        <f t="shared" si="56"/>
        <v/>
      </c>
      <c r="V269" t="str">
        <f t="shared" si="57"/>
        <v/>
      </c>
      <c r="W269" t="str">
        <f t="shared" si="58"/>
        <v/>
      </c>
      <c r="X269" t="str">
        <f t="shared" si="59"/>
        <v/>
      </c>
      <c r="Y269" t="e">
        <f>VLOOKUP($A269,Runs!$G:$G,1,FALSE)</f>
        <v>#N/A</v>
      </c>
    </row>
    <row r="270" spans="1:25" ht="22.5" customHeight="1" x14ac:dyDescent="0.25">
      <c r="A270" s="2" t="s">
        <v>416</v>
      </c>
      <c r="B270" s="2" t="s">
        <v>417</v>
      </c>
      <c r="C270" s="3">
        <v>3.5999999999999997E-2</v>
      </c>
      <c r="D270" s="6" t="s">
        <v>242</v>
      </c>
      <c r="E270">
        <f>(30-C270*100)*VLOOKUP($D270,Calc!$A$1:$C$6,3,FALSE)</f>
        <v>66</v>
      </c>
      <c r="F270" s="6">
        <f>VLOOKUP(D270,Calc!$A$1:$B$6,2,FALSE)</f>
        <v>3</v>
      </c>
      <c r="G270" s="10">
        <f t="shared" si="48"/>
        <v>3.6299999999999999E-2</v>
      </c>
      <c r="H270" s="9">
        <f t="shared" si="49"/>
        <v>4.1E-5</v>
      </c>
      <c r="I270" s="10">
        <f t="shared" si="50"/>
        <v>3.6304099999999999E-2</v>
      </c>
      <c r="J270" s="10">
        <f t="shared" si="51"/>
        <v>3.6304099999999999E-2</v>
      </c>
      <c r="K270" s="10" t="str">
        <f t="shared" si="52"/>
        <v/>
      </c>
      <c r="L270" s="9">
        <f t="shared" si="53"/>
        <v>2.9636958999999998</v>
      </c>
      <c r="M270" s="9">
        <f t="shared" si="54"/>
        <v>2.9636958999999998</v>
      </c>
      <c r="N270" s="9" t="str">
        <f t="shared" si="55"/>
        <v/>
      </c>
      <c r="O270" s="4" t="s">
        <v>755</v>
      </c>
      <c r="P270" s="1" t="s">
        <v>1675</v>
      </c>
      <c r="Q270" s="7"/>
      <c r="R270" s="7" t="s">
        <v>1437</v>
      </c>
      <c r="S270" s="8" t="s">
        <v>1438</v>
      </c>
      <c r="T270" s="7"/>
      <c r="U270" t="str">
        <f t="shared" si="56"/>
        <v/>
      </c>
      <c r="V270" t="str">
        <f t="shared" si="57"/>
        <v/>
      </c>
      <c r="W270" t="str">
        <f t="shared" si="58"/>
        <v/>
      </c>
      <c r="X270" t="str">
        <f t="shared" si="59"/>
        <v/>
      </c>
      <c r="Y270" t="e">
        <f>VLOOKUP($A270,Runs!$G:$G,1,FALSE)</f>
        <v>#N/A</v>
      </c>
    </row>
    <row r="271" spans="1:25" ht="22.5" customHeight="1" x14ac:dyDescent="0.25">
      <c r="A271" s="2" t="s">
        <v>393</v>
      </c>
      <c r="B271" s="2" t="s">
        <v>394</v>
      </c>
      <c r="C271" s="3">
        <v>3.6999999999999998E-2</v>
      </c>
      <c r="D271" s="6" t="s">
        <v>242</v>
      </c>
      <c r="E271">
        <f>(30-C271*100)*VLOOKUP($D271,Calc!$A$1:$C$6,3,FALSE)</f>
        <v>65.75</v>
      </c>
      <c r="F271" s="6">
        <f>VLOOKUP(D271,Calc!$A$1:$B$6,2,FALSE)</f>
        <v>3</v>
      </c>
      <c r="G271" s="10">
        <f t="shared" si="48"/>
        <v>3.73E-2</v>
      </c>
      <c r="H271" s="9">
        <f t="shared" si="49"/>
        <v>2.9E-5</v>
      </c>
      <c r="I271" s="10">
        <f t="shared" si="50"/>
        <v>3.73029E-2</v>
      </c>
      <c r="J271" s="10">
        <f t="shared" si="51"/>
        <v>3.73029E-2</v>
      </c>
      <c r="K271" s="10" t="str">
        <f t="shared" si="52"/>
        <v/>
      </c>
      <c r="L271" s="9">
        <f t="shared" si="53"/>
        <v>2.9626971000000002</v>
      </c>
      <c r="M271" s="9">
        <f t="shared" si="54"/>
        <v>2.9626971000000002</v>
      </c>
      <c r="N271" s="9" t="str">
        <f t="shared" si="55"/>
        <v/>
      </c>
      <c r="O271" s="4" t="s">
        <v>755</v>
      </c>
      <c r="P271" s="1" t="s">
        <v>1700</v>
      </c>
      <c r="Q271" s="7" t="s">
        <v>1293</v>
      </c>
      <c r="R271" s="7" t="s">
        <v>1294</v>
      </c>
      <c r="S271" s="8" t="s">
        <v>1295</v>
      </c>
      <c r="T271" s="7"/>
      <c r="U271" t="str">
        <f t="shared" si="56"/>
        <v/>
      </c>
      <c r="V271" t="str">
        <f t="shared" si="57"/>
        <v/>
      </c>
      <c r="W271" t="str">
        <f t="shared" si="58"/>
        <v/>
      </c>
      <c r="X271" t="str">
        <f t="shared" si="59"/>
        <v/>
      </c>
      <c r="Y271" t="e">
        <f>VLOOKUP($A271,Runs!$G:$G,1,FALSE)</f>
        <v>#N/A</v>
      </c>
    </row>
    <row r="272" spans="1:25" ht="22.5" customHeight="1" x14ac:dyDescent="0.25">
      <c r="A272" s="2" t="s">
        <v>34</v>
      </c>
      <c r="B272" s="2" t="s">
        <v>35</v>
      </c>
      <c r="C272" s="3">
        <v>3.6999999999999998E-2</v>
      </c>
      <c r="D272" s="6" t="s">
        <v>2</v>
      </c>
      <c r="E272">
        <f>(30-C272*100)*VLOOKUP($D272,Calc!$A$1:$C$6,3,FALSE)</f>
        <v>13.15</v>
      </c>
      <c r="F272" s="6">
        <f>VLOOKUP(D272,Calc!$A$1:$B$6,2,FALSE)</f>
        <v>1</v>
      </c>
      <c r="G272" s="10">
        <f t="shared" si="48"/>
        <v>3.7100000000000001E-2</v>
      </c>
      <c r="H272" s="9">
        <f t="shared" si="49"/>
        <v>5.8999999999999998E-5</v>
      </c>
      <c r="I272" s="10">
        <f t="shared" si="50"/>
        <v>3.7105900000000004E-2</v>
      </c>
      <c r="J272" s="10" t="str">
        <f t="shared" si="51"/>
        <v/>
      </c>
      <c r="K272" s="10">
        <f t="shared" si="52"/>
        <v>3.7105900000000004E-2</v>
      </c>
      <c r="L272" s="9">
        <f t="shared" si="53"/>
        <v>0.96289409999999998</v>
      </c>
      <c r="M272" s="9" t="str">
        <f t="shared" si="54"/>
        <v/>
      </c>
      <c r="N272" s="9">
        <f t="shared" si="55"/>
        <v>0.96289409999999998</v>
      </c>
      <c r="O272" s="4"/>
      <c r="Q272" s="7" t="s">
        <v>815</v>
      </c>
      <c r="R272" s="7" t="s">
        <v>816</v>
      </c>
      <c r="S272" s="8" t="s">
        <v>817</v>
      </c>
      <c r="T272" s="7"/>
      <c r="U272" t="str">
        <f t="shared" si="56"/>
        <v/>
      </c>
      <c r="V272" t="str">
        <f t="shared" si="57"/>
        <v/>
      </c>
      <c r="W272" t="str">
        <f t="shared" si="58"/>
        <v/>
      </c>
      <c r="X272">
        <f t="shared" si="59"/>
        <v>3.7105900000000004E-2</v>
      </c>
      <c r="Y272" t="e">
        <f>VLOOKUP($A272,Runs!$G:$G,1,FALSE)</f>
        <v>#N/A</v>
      </c>
    </row>
    <row r="273" spans="1:25" ht="22.5" customHeight="1" x14ac:dyDescent="0.25">
      <c r="A273" s="2" t="s">
        <v>373</v>
      </c>
      <c r="B273" s="2" t="s">
        <v>741</v>
      </c>
      <c r="C273" s="3">
        <v>3.7999999999999999E-2</v>
      </c>
      <c r="D273" s="6" t="s">
        <v>242</v>
      </c>
      <c r="E273">
        <f>(30-C273*100)*VLOOKUP($D273,Calc!$A$1:$C$6,3,FALSE)</f>
        <v>65.5</v>
      </c>
      <c r="F273" s="6">
        <f>VLOOKUP(D273,Calc!$A$1:$B$6,2,FALSE)</f>
        <v>3</v>
      </c>
      <c r="G273" s="10">
        <f t="shared" si="48"/>
        <v>3.8300000000000001E-2</v>
      </c>
      <c r="H273" s="9">
        <f t="shared" si="49"/>
        <v>6.8999999999999997E-5</v>
      </c>
      <c r="I273" s="10">
        <f t="shared" si="50"/>
        <v>3.8306899999999998E-2</v>
      </c>
      <c r="J273" s="10">
        <f t="shared" si="51"/>
        <v>3.8306899999999998E-2</v>
      </c>
      <c r="K273" s="10" t="str">
        <f t="shared" si="52"/>
        <v/>
      </c>
      <c r="L273" s="9">
        <f t="shared" si="53"/>
        <v>2.9616931000000002</v>
      </c>
      <c r="M273" s="9">
        <f t="shared" si="54"/>
        <v>2.9616931000000002</v>
      </c>
      <c r="N273" s="9" t="str">
        <f t="shared" si="55"/>
        <v/>
      </c>
      <c r="O273" s="4" t="s">
        <v>755</v>
      </c>
      <c r="P273" s="1" t="s">
        <v>1693</v>
      </c>
      <c r="Q273" s="7"/>
      <c r="R273" s="7" t="s">
        <v>1251</v>
      </c>
      <c r="S273" s="8" t="s">
        <v>1252</v>
      </c>
      <c r="T273" s="7"/>
      <c r="U273" t="str">
        <f t="shared" si="56"/>
        <v/>
      </c>
      <c r="V273" t="str">
        <f t="shared" si="57"/>
        <v/>
      </c>
      <c r="W273" t="str">
        <f t="shared" si="58"/>
        <v/>
      </c>
      <c r="X273" t="str">
        <f t="shared" si="59"/>
        <v/>
      </c>
      <c r="Y273" t="e">
        <f>VLOOKUP($A273,Runs!$G:$G,1,FALSE)</f>
        <v>#N/A</v>
      </c>
    </row>
    <row r="274" spans="1:25" ht="22.5" customHeight="1" x14ac:dyDescent="0.25">
      <c r="A274" s="2" t="s">
        <v>325</v>
      </c>
      <c r="B274" s="2" t="s">
        <v>326</v>
      </c>
      <c r="C274" s="3">
        <v>3.7999999999999999E-2</v>
      </c>
      <c r="D274" s="6" t="s">
        <v>242</v>
      </c>
      <c r="E274">
        <f>(30-C274*100)*VLOOKUP($D274,Calc!$A$1:$C$6,3,FALSE)</f>
        <v>65.5</v>
      </c>
      <c r="F274" s="6">
        <f>VLOOKUP(D274,Calc!$A$1:$B$6,2,FALSE)</f>
        <v>3</v>
      </c>
      <c r="G274" s="10">
        <f t="shared" si="48"/>
        <v>3.8300000000000001E-2</v>
      </c>
      <c r="H274" s="9">
        <f t="shared" si="49"/>
        <v>8.7000000000000001E-5</v>
      </c>
      <c r="I274" s="10">
        <f t="shared" si="50"/>
        <v>3.8308700000000001E-2</v>
      </c>
      <c r="J274" s="10">
        <f t="shared" si="51"/>
        <v>3.8308700000000001E-2</v>
      </c>
      <c r="K274" s="10" t="str">
        <f t="shared" si="52"/>
        <v/>
      </c>
      <c r="L274" s="9">
        <f t="shared" si="53"/>
        <v>2.9616913</v>
      </c>
      <c r="M274" s="9">
        <f t="shared" si="54"/>
        <v>2.9616913</v>
      </c>
      <c r="N274" s="9" t="str">
        <f t="shared" si="55"/>
        <v/>
      </c>
      <c r="O274" s="4" t="s">
        <v>755</v>
      </c>
      <c r="P274" s="1" t="s">
        <v>1698</v>
      </c>
      <c r="Q274" s="7" t="s">
        <v>1168</v>
      </c>
      <c r="R274" s="8" t="s">
        <v>1169</v>
      </c>
      <c r="S274" s="7"/>
      <c r="T274" s="7"/>
      <c r="U274" t="str">
        <f t="shared" si="56"/>
        <v/>
      </c>
      <c r="V274" t="str">
        <f t="shared" si="57"/>
        <v/>
      </c>
      <c r="W274" t="str">
        <f t="shared" si="58"/>
        <v/>
      </c>
      <c r="X274" t="str">
        <f t="shared" si="59"/>
        <v/>
      </c>
      <c r="Y274" t="e">
        <f>VLOOKUP($A274,Runs!$G:$G,1,FALSE)</f>
        <v>#N/A</v>
      </c>
    </row>
    <row r="275" spans="1:25" ht="22.5" customHeight="1" x14ac:dyDescent="0.25">
      <c r="A275" s="2" t="s">
        <v>247</v>
      </c>
      <c r="B275" s="2" t="s">
        <v>649</v>
      </c>
      <c r="C275" s="3">
        <v>3.9E-2</v>
      </c>
      <c r="D275" s="6" t="s">
        <v>242</v>
      </c>
      <c r="E275">
        <f>(30-C275*100)*VLOOKUP($D275,Calc!$A$1:$C$6,3,FALSE)</f>
        <v>65.25</v>
      </c>
      <c r="F275" s="6">
        <f>VLOOKUP(D275,Calc!$A$1:$B$6,2,FALSE)</f>
        <v>3</v>
      </c>
      <c r="G275" s="10">
        <f t="shared" si="48"/>
        <v>3.9300000000000002E-2</v>
      </c>
      <c r="H275" s="9">
        <f t="shared" si="49"/>
        <v>7.9999999999999996E-6</v>
      </c>
      <c r="I275" s="10">
        <f t="shared" si="50"/>
        <v>3.9300800000000004E-2</v>
      </c>
      <c r="J275" s="10">
        <f t="shared" si="51"/>
        <v>3.9300800000000004E-2</v>
      </c>
      <c r="K275" s="10" t="str">
        <f t="shared" si="52"/>
        <v/>
      </c>
      <c r="L275" s="9">
        <f t="shared" si="53"/>
        <v>2.9606992000000001</v>
      </c>
      <c r="M275" s="9">
        <f t="shared" si="54"/>
        <v>2.9606992000000001</v>
      </c>
      <c r="N275" s="9" t="str">
        <f t="shared" si="55"/>
        <v/>
      </c>
      <c r="O275" s="4" t="s">
        <v>755</v>
      </c>
      <c r="P275" s="1" t="s">
        <v>1731</v>
      </c>
      <c r="Q275" s="7"/>
      <c r="R275" s="7" t="s">
        <v>890</v>
      </c>
      <c r="S275" s="8" t="s">
        <v>891</v>
      </c>
      <c r="T275" s="7"/>
      <c r="U275" t="str">
        <f t="shared" si="56"/>
        <v/>
      </c>
      <c r="V275" t="str">
        <f t="shared" si="57"/>
        <v/>
      </c>
      <c r="W275" t="str">
        <f t="shared" si="58"/>
        <v/>
      </c>
      <c r="X275" t="str">
        <f t="shared" si="59"/>
        <v/>
      </c>
      <c r="Y275" t="str">
        <f>VLOOKUP($A275,Runs!$G:$G,1,FALSE)</f>
        <v>Black Jack</v>
      </c>
    </row>
    <row r="276" spans="1:25" ht="22.5" customHeight="1" x14ac:dyDescent="0.25">
      <c r="A276" s="2" t="s">
        <v>1677</v>
      </c>
      <c r="B276" s="2" t="s">
        <v>90</v>
      </c>
      <c r="C276" s="3">
        <v>3.9E-2</v>
      </c>
      <c r="D276" s="6" t="s">
        <v>2</v>
      </c>
      <c r="E276">
        <f>(30-C276*100)*VLOOKUP($D276,Calc!$A$1:$C$6,3,FALSE)</f>
        <v>13.05</v>
      </c>
      <c r="F276" s="6">
        <f>VLOOKUP(D276,Calc!$A$1:$B$6,2,FALSE)</f>
        <v>1</v>
      </c>
      <c r="G276" s="10">
        <f t="shared" si="48"/>
        <v>3.9100000000000003E-2</v>
      </c>
      <c r="H276" s="9">
        <f t="shared" si="49"/>
        <v>9.2E-5</v>
      </c>
      <c r="I276" s="10">
        <f t="shared" si="50"/>
        <v>3.9109200000000004E-2</v>
      </c>
      <c r="J276" s="10">
        <f t="shared" si="51"/>
        <v>3.9109200000000004E-2</v>
      </c>
      <c r="K276" s="10" t="str">
        <f t="shared" si="52"/>
        <v/>
      </c>
      <c r="L276" s="9">
        <f t="shared" si="53"/>
        <v>0.96089080000000004</v>
      </c>
      <c r="M276" s="9">
        <f t="shared" si="54"/>
        <v>0.96089080000000004</v>
      </c>
      <c r="N276" s="9" t="str">
        <f t="shared" si="55"/>
        <v/>
      </c>
      <c r="O276" s="4" t="s">
        <v>755</v>
      </c>
      <c r="P276" s="1" t="s">
        <v>1676</v>
      </c>
      <c r="Q276" s="7"/>
      <c r="R276" s="7" t="s">
        <v>822</v>
      </c>
      <c r="S276" s="7" t="s">
        <v>823</v>
      </c>
      <c r="T276" s="7" t="s">
        <v>775</v>
      </c>
      <c r="U276" t="str">
        <f t="shared" si="56"/>
        <v/>
      </c>
      <c r="V276" t="str">
        <f t="shared" si="57"/>
        <v/>
      </c>
      <c r="W276" t="str">
        <f t="shared" si="58"/>
        <v/>
      </c>
      <c r="X276" t="str">
        <f t="shared" si="59"/>
        <v/>
      </c>
      <c r="Y276" t="e">
        <f>VLOOKUP($A276,Runs!$G:$G,1,FALSE)</f>
        <v>#N/A</v>
      </c>
    </row>
    <row r="277" spans="1:25" ht="22.5" customHeight="1" x14ac:dyDescent="0.25">
      <c r="A277" s="2" t="s">
        <v>210</v>
      </c>
      <c r="B277" s="2" t="s">
        <v>211</v>
      </c>
      <c r="C277" s="3">
        <v>0.04</v>
      </c>
      <c r="D277" s="6" t="s">
        <v>105</v>
      </c>
      <c r="E277">
        <f>(30-C277*100)*VLOOKUP($D277,Calc!$A$1:$C$6,3,FALSE)</f>
        <v>26</v>
      </c>
      <c r="F277" s="6">
        <f>VLOOKUP(D277,Calc!$A$1:$B$6,2,FALSE)</f>
        <v>2</v>
      </c>
      <c r="G277" s="10">
        <f t="shared" si="48"/>
        <v>4.02E-2</v>
      </c>
      <c r="H277" s="9">
        <f t="shared" si="49"/>
        <v>2.9E-5</v>
      </c>
      <c r="I277" s="10">
        <f t="shared" si="50"/>
        <v>4.02029E-2</v>
      </c>
      <c r="J277" s="10">
        <f t="shared" si="51"/>
        <v>4.02029E-2</v>
      </c>
      <c r="K277" s="10" t="str">
        <f t="shared" si="52"/>
        <v/>
      </c>
      <c r="L277" s="9">
        <f t="shared" si="53"/>
        <v>1.9597971000000001</v>
      </c>
      <c r="M277" s="9">
        <f t="shared" si="54"/>
        <v>1.9597971000000001</v>
      </c>
      <c r="N277" s="9" t="str">
        <f t="shared" si="55"/>
        <v/>
      </c>
      <c r="O277" s="4" t="s">
        <v>755</v>
      </c>
      <c r="P277" s="1" t="s">
        <v>1676</v>
      </c>
      <c r="Q277" s="7" t="s">
        <v>866</v>
      </c>
      <c r="R277" s="8" t="s">
        <v>1054</v>
      </c>
      <c r="S277" s="7"/>
      <c r="T277" s="7" t="s">
        <v>770</v>
      </c>
      <c r="U277" t="str">
        <f t="shared" si="56"/>
        <v/>
      </c>
      <c r="V277" t="str">
        <f t="shared" si="57"/>
        <v/>
      </c>
      <c r="W277" t="str">
        <f t="shared" si="58"/>
        <v/>
      </c>
      <c r="X277" t="str">
        <f t="shared" si="59"/>
        <v/>
      </c>
      <c r="Y277" t="e">
        <f>VLOOKUP($A277,Runs!$G:$G,1,FALSE)</f>
        <v>#N/A</v>
      </c>
    </row>
    <row r="278" spans="1:25" ht="22.5" customHeight="1" x14ac:dyDescent="0.25">
      <c r="A278" s="2" t="s">
        <v>190</v>
      </c>
      <c r="B278" s="2" t="s">
        <v>191</v>
      </c>
      <c r="C278" s="3">
        <v>4.1000000000000002E-2</v>
      </c>
      <c r="D278" s="6" t="s">
        <v>105</v>
      </c>
      <c r="E278">
        <f>(30-C278*100)*VLOOKUP($D278,Calc!$A$1:$C$6,3,FALSE)</f>
        <v>25.9</v>
      </c>
      <c r="F278" s="6">
        <f>VLOOKUP(D278,Calc!$A$1:$B$6,2,FALSE)</f>
        <v>2</v>
      </c>
      <c r="G278" s="10">
        <f t="shared" si="48"/>
        <v>4.1200000000000001E-2</v>
      </c>
      <c r="H278" s="9">
        <f t="shared" si="49"/>
        <v>4.1999999999999998E-5</v>
      </c>
      <c r="I278" s="10">
        <f t="shared" si="50"/>
        <v>4.1204200000000003E-2</v>
      </c>
      <c r="J278" s="10">
        <f t="shared" si="51"/>
        <v>4.1204200000000003E-2</v>
      </c>
      <c r="K278" s="10" t="str">
        <f t="shared" si="52"/>
        <v/>
      </c>
      <c r="L278" s="9">
        <f t="shared" si="53"/>
        <v>1.9587958000000001</v>
      </c>
      <c r="M278" s="9">
        <f t="shared" si="54"/>
        <v>1.9587958000000001</v>
      </c>
      <c r="N278" s="9" t="str">
        <f t="shared" si="55"/>
        <v/>
      </c>
      <c r="O278" s="4" t="s">
        <v>755</v>
      </c>
      <c r="P278" s="1" t="s">
        <v>1676</v>
      </c>
      <c r="Q278" s="7" t="s">
        <v>797</v>
      </c>
      <c r="R278" s="7" t="s">
        <v>1016</v>
      </c>
      <c r="S278" s="7" t="s">
        <v>1017</v>
      </c>
      <c r="T278" s="7" t="s">
        <v>775</v>
      </c>
      <c r="U278" t="str">
        <f t="shared" si="56"/>
        <v/>
      </c>
      <c r="V278" t="str">
        <f t="shared" si="57"/>
        <v/>
      </c>
      <c r="W278" t="str">
        <f t="shared" si="58"/>
        <v/>
      </c>
      <c r="X278" t="str">
        <f t="shared" si="59"/>
        <v/>
      </c>
      <c r="Y278" t="e">
        <f>VLOOKUP($A278,Runs!$G:$G,1,FALSE)</f>
        <v>#N/A</v>
      </c>
    </row>
    <row r="279" spans="1:25" ht="22.5" customHeight="1" x14ac:dyDescent="0.25">
      <c r="A279" s="2" t="s">
        <v>106</v>
      </c>
      <c r="B279" s="2" t="s">
        <v>107</v>
      </c>
      <c r="C279" s="3">
        <v>4.1000000000000002E-2</v>
      </c>
      <c r="D279" s="6" t="s">
        <v>105</v>
      </c>
      <c r="E279">
        <f>(30-C279*100)*VLOOKUP($D279,Calc!$A$1:$C$6,3,FALSE)</f>
        <v>25.9</v>
      </c>
      <c r="F279" s="6">
        <f>VLOOKUP(D279,Calc!$A$1:$B$6,2,FALSE)</f>
        <v>2</v>
      </c>
      <c r="G279" s="10">
        <f t="shared" si="48"/>
        <v>4.1200000000000001E-2</v>
      </c>
      <c r="H279" s="9">
        <f t="shared" si="49"/>
        <v>5.3999999999999998E-5</v>
      </c>
      <c r="I279" s="10">
        <f t="shared" si="50"/>
        <v>4.1205400000000003E-2</v>
      </c>
      <c r="J279" s="10">
        <f t="shared" si="51"/>
        <v>4.1205400000000003E-2</v>
      </c>
      <c r="K279" s="10" t="str">
        <f t="shared" si="52"/>
        <v/>
      </c>
      <c r="L279" s="9">
        <f t="shared" si="53"/>
        <v>1.9587946000000001</v>
      </c>
      <c r="M279" s="9">
        <f t="shared" si="54"/>
        <v>1.9587946000000001</v>
      </c>
      <c r="N279" s="9" t="str">
        <f t="shared" si="55"/>
        <v/>
      </c>
      <c r="O279" s="4" t="s">
        <v>755</v>
      </c>
      <c r="P279" s="1" t="s">
        <v>1663</v>
      </c>
      <c r="Q279" s="7" t="s">
        <v>829</v>
      </c>
      <c r="R279" s="7" t="s">
        <v>830</v>
      </c>
      <c r="S279" s="8" t="s">
        <v>831</v>
      </c>
      <c r="T279" s="7"/>
      <c r="U279" t="str">
        <f t="shared" si="56"/>
        <v/>
      </c>
      <c r="V279" t="str">
        <f t="shared" si="57"/>
        <v/>
      </c>
      <c r="W279" t="str">
        <f t="shared" si="58"/>
        <v/>
      </c>
      <c r="X279" t="str">
        <f t="shared" si="59"/>
        <v/>
      </c>
      <c r="Y279" t="e">
        <f>VLOOKUP($A279,Runs!$G:$G,1,FALSE)</f>
        <v>#N/A</v>
      </c>
    </row>
    <row r="280" spans="1:25" ht="22.5" customHeight="1" x14ac:dyDescent="0.25">
      <c r="A280" s="2" t="s">
        <v>130</v>
      </c>
      <c r="B280" s="2" t="s">
        <v>660</v>
      </c>
      <c r="C280" s="3">
        <v>4.1000000000000002E-2</v>
      </c>
      <c r="D280" s="6" t="s">
        <v>105</v>
      </c>
      <c r="E280">
        <f>(30-C280*100)*VLOOKUP($D280,Calc!$A$1:$C$6,3,FALSE)</f>
        <v>25.9</v>
      </c>
      <c r="F280" s="6">
        <f>VLOOKUP(D280,Calc!$A$1:$B$6,2,FALSE)</f>
        <v>2</v>
      </c>
      <c r="G280" s="10">
        <f t="shared" si="48"/>
        <v>4.1200000000000001E-2</v>
      </c>
      <c r="H280" s="9">
        <f t="shared" si="49"/>
        <v>2.0000000000000002E-5</v>
      </c>
      <c r="I280" s="10">
        <f t="shared" si="50"/>
        <v>4.1202000000000003E-2</v>
      </c>
      <c r="J280" s="10" t="str">
        <f t="shared" si="51"/>
        <v/>
      </c>
      <c r="K280" s="10">
        <f t="shared" si="52"/>
        <v>4.1202000000000003E-2</v>
      </c>
      <c r="L280" s="9">
        <f t="shared" si="53"/>
        <v>1.958798</v>
      </c>
      <c r="M280" s="9" t="str">
        <f t="shared" si="54"/>
        <v/>
      </c>
      <c r="N280" s="9">
        <f t="shared" si="55"/>
        <v>1.958798</v>
      </c>
      <c r="O280" s="4"/>
      <c r="Q280" s="7"/>
      <c r="R280" s="7" t="s">
        <v>915</v>
      </c>
      <c r="S280" s="8" t="s">
        <v>916</v>
      </c>
      <c r="T280" s="7"/>
      <c r="U280">
        <f t="shared" si="56"/>
        <v>4.1202000000000003E-2</v>
      </c>
      <c r="V280" t="str">
        <f t="shared" si="57"/>
        <v/>
      </c>
      <c r="W280" t="str">
        <f t="shared" si="58"/>
        <v/>
      </c>
      <c r="X280" t="str">
        <f t="shared" si="59"/>
        <v/>
      </c>
      <c r="Y280" t="e">
        <f>VLOOKUP($A280,Runs!$G:$G,1,FALSE)</f>
        <v>#N/A</v>
      </c>
    </row>
    <row r="281" spans="1:25" ht="22.5" customHeight="1" x14ac:dyDescent="0.25">
      <c r="A281" s="2" t="s">
        <v>537</v>
      </c>
      <c r="B281" s="2" t="s">
        <v>647</v>
      </c>
      <c r="C281" s="3">
        <v>4.2000000000000003E-2</v>
      </c>
      <c r="D281" s="6" t="s">
        <v>434</v>
      </c>
      <c r="E281">
        <f>(30-C281*100)*VLOOKUP($D281,Calc!$A$1:$C$6,3,FALSE)</f>
        <v>129</v>
      </c>
      <c r="F281" s="6">
        <f>VLOOKUP(D281,Calc!$A$1:$B$6,2,FALSE)</f>
        <v>4</v>
      </c>
      <c r="G281" s="10">
        <f t="shared" si="48"/>
        <v>4.24E-2</v>
      </c>
      <c r="H281" s="9">
        <f t="shared" si="49"/>
        <v>8.7999999999999998E-5</v>
      </c>
      <c r="I281" s="10">
        <f t="shared" si="50"/>
        <v>4.2408800000000003E-2</v>
      </c>
      <c r="J281" s="10">
        <f t="shared" si="51"/>
        <v>4.2408800000000003E-2</v>
      </c>
      <c r="K281" s="10" t="str">
        <f t="shared" si="52"/>
        <v/>
      </c>
      <c r="L281" s="9">
        <f t="shared" si="53"/>
        <v>3.9575912</v>
      </c>
      <c r="M281" s="9">
        <f t="shared" si="54"/>
        <v>3.9575912</v>
      </c>
      <c r="N281" s="9" t="str">
        <f t="shared" si="55"/>
        <v/>
      </c>
      <c r="O281" s="4" t="s">
        <v>755</v>
      </c>
      <c r="P281" s="1" t="s">
        <v>1689</v>
      </c>
      <c r="Q281" s="7" t="s">
        <v>1479</v>
      </c>
      <c r="R281" s="8" t="s">
        <v>1480</v>
      </c>
      <c r="S281" s="7"/>
      <c r="T281" s="7"/>
      <c r="U281" t="str">
        <f t="shared" si="56"/>
        <v/>
      </c>
      <c r="V281" t="str">
        <f t="shared" si="57"/>
        <v/>
      </c>
      <c r="W281" t="str">
        <f t="shared" si="58"/>
        <v/>
      </c>
      <c r="X281" t="str">
        <f t="shared" si="59"/>
        <v/>
      </c>
      <c r="Y281" t="e">
        <f>VLOOKUP($A281,Runs!$G:$G,1,FALSE)</f>
        <v>#N/A</v>
      </c>
    </row>
    <row r="282" spans="1:25" ht="22.5" customHeight="1" x14ac:dyDescent="0.25">
      <c r="A282" s="2" t="s">
        <v>381</v>
      </c>
      <c r="B282" s="2" t="s">
        <v>382</v>
      </c>
      <c r="C282" s="3">
        <v>4.2999999999999997E-2</v>
      </c>
      <c r="D282" s="6" t="s">
        <v>242</v>
      </c>
      <c r="E282">
        <f>(30-C282*100)*VLOOKUP($D282,Calc!$A$1:$C$6,3,FALSE)</f>
        <v>64.25</v>
      </c>
      <c r="F282" s="6">
        <f>VLOOKUP(D282,Calc!$A$1:$B$6,2,FALSE)</f>
        <v>3</v>
      </c>
      <c r="G282" s="10">
        <f t="shared" si="48"/>
        <v>4.3299999999999998E-2</v>
      </c>
      <c r="H282" s="9">
        <f t="shared" si="49"/>
        <v>-1.2999999999999999E-5</v>
      </c>
      <c r="I282" s="10">
        <f t="shared" si="50"/>
        <v>4.3298699999999996E-2</v>
      </c>
      <c r="J282" s="10">
        <f t="shared" si="51"/>
        <v>4.3298699999999996E-2</v>
      </c>
      <c r="K282" s="10" t="str">
        <f t="shared" si="52"/>
        <v/>
      </c>
      <c r="L282" s="9">
        <f t="shared" si="53"/>
        <v>2.9567013000000002</v>
      </c>
      <c r="M282" s="9">
        <f t="shared" si="54"/>
        <v>2.9567013000000002</v>
      </c>
      <c r="N282" s="9" t="str">
        <f t="shared" si="55"/>
        <v/>
      </c>
      <c r="O282" s="4" t="s">
        <v>755</v>
      </c>
      <c r="P282" s="1" t="s">
        <v>756</v>
      </c>
      <c r="Q282" s="7"/>
      <c r="R282" s="7" t="s">
        <v>1265</v>
      </c>
      <c r="S282" s="8" t="s">
        <v>1266</v>
      </c>
      <c r="T282" s="7"/>
      <c r="U282" t="str">
        <f t="shared" si="56"/>
        <v/>
      </c>
      <c r="V282" t="str">
        <f t="shared" si="57"/>
        <v/>
      </c>
      <c r="W282" t="str">
        <f t="shared" si="58"/>
        <v/>
      </c>
      <c r="X282" t="str">
        <f t="shared" si="59"/>
        <v/>
      </c>
      <c r="Y282" t="e">
        <f>VLOOKUP($A282,Runs!$G:$G,1,FALSE)</f>
        <v>#N/A</v>
      </c>
    </row>
    <row r="283" spans="1:25" ht="22.5" customHeight="1" x14ac:dyDescent="0.25">
      <c r="A283" s="2" t="s">
        <v>13</v>
      </c>
      <c r="B283" s="2" t="s">
        <v>656</v>
      </c>
      <c r="C283" s="3">
        <v>4.3999999999999997E-2</v>
      </c>
      <c r="D283" s="6" t="s">
        <v>2</v>
      </c>
      <c r="E283">
        <f>(30-C283*100)*VLOOKUP($D283,Calc!$A$1:$C$6,3,FALSE)</f>
        <v>12.8</v>
      </c>
      <c r="F283" s="6">
        <f>VLOOKUP(D283,Calc!$A$1:$B$6,2,FALSE)</f>
        <v>1</v>
      </c>
      <c r="G283" s="10">
        <f t="shared" si="48"/>
        <v>4.41E-2</v>
      </c>
      <c r="H283" s="9">
        <f t="shared" si="49"/>
        <v>1.01E-4</v>
      </c>
      <c r="I283" s="10">
        <f t="shared" si="50"/>
        <v>4.4110099999999999E-2</v>
      </c>
      <c r="J283" s="10">
        <f t="shared" si="51"/>
        <v>4.4110099999999999E-2</v>
      </c>
      <c r="K283" s="10" t="str">
        <f t="shared" si="52"/>
        <v/>
      </c>
      <c r="L283" s="9">
        <f t="shared" si="53"/>
        <v>0.95588989999999996</v>
      </c>
      <c r="M283" s="9">
        <f t="shared" si="54"/>
        <v>0.95588989999999996</v>
      </c>
      <c r="N283" s="9" t="str">
        <f t="shared" si="55"/>
        <v/>
      </c>
      <c r="O283" s="4" t="s">
        <v>755</v>
      </c>
      <c r="P283" s="1" t="s">
        <v>1675</v>
      </c>
      <c r="Q283" s="7"/>
      <c r="R283" s="7" t="s">
        <v>783</v>
      </c>
      <c r="S283" s="7" t="s">
        <v>784</v>
      </c>
      <c r="T283" s="7" t="s">
        <v>770</v>
      </c>
      <c r="U283" t="str">
        <f t="shared" si="56"/>
        <v/>
      </c>
      <c r="V283" t="str">
        <f t="shared" si="57"/>
        <v/>
      </c>
      <c r="W283" t="str">
        <f t="shared" si="58"/>
        <v/>
      </c>
      <c r="X283" t="str">
        <f t="shared" si="59"/>
        <v/>
      </c>
      <c r="Y283" t="e">
        <f>VLOOKUP($A283,Runs!$G:$G,1,FALSE)</f>
        <v>#N/A</v>
      </c>
    </row>
    <row r="284" spans="1:25" ht="22.5" customHeight="1" x14ac:dyDescent="0.25">
      <c r="A284" s="2" t="s">
        <v>38</v>
      </c>
      <c r="B284" s="2" t="s">
        <v>39</v>
      </c>
      <c r="C284" s="3">
        <v>4.4999999999999998E-2</v>
      </c>
      <c r="D284" s="6" t="s">
        <v>2</v>
      </c>
      <c r="E284">
        <f>(30-C284*100)*VLOOKUP($D284,Calc!$A$1:$C$6,3,FALSE)</f>
        <v>12.75</v>
      </c>
      <c r="F284" s="6">
        <f>VLOOKUP(D284,Calc!$A$1:$B$6,2,FALSE)</f>
        <v>1</v>
      </c>
      <c r="G284" s="10">
        <f t="shared" si="48"/>
        <v>4.5100000000000001E-2</v>
      </c>
      <c r="H284" s="9">
        <f t="shared" si="49"/>
        <v>6.4999999999999994E-5</v>
      </c>
      <c r="I284" s="10">
        <f t="shared" si="50"/>
        <v>4.5106500000000001E-2</v>
      </c>
      <c r="J284" s="10">
        <f t="shared" si="51"/>
        <v>4.5106500000000001E-2</v>
      </c>
      <c r="K284" s="10" t="str">
        <f t="shared" si="52"/>
        <v/>
      </c>
      <c r="L284" s="9">
        <f t="shared" si="53"/>
        <v>0.95489349999999995</v>
      </c>
      <c r="M284" s="9">
        <f t="shared" si="54"/>
        <v>0.95489349999999995</v>
      </c>
      <c r="N284" s="9" t="str">
        <f t="shared" si="55"/>
        <v/>
      </c>
      <c r="O284" s="4" t="s">
        <v>755</v>
      </c>
      <c r="P284" s="1" t="s">
        <v>1665</v>
      </c>
      <c r="Q284" s="7"/>
      <c r="R284" s="7" t="s">
        <v>820</v>
      </c>
      <c r="S284" s="8" t="s">
        <v>821</v>
      </c>
      <c r="T284" s="7"/>
      <c r="U284" t="str">
        <f t="shared" si="56"/>
        <v/>
      </c>
      <c r="V284" t="str">
        <f t="shared" si="57"/>
        <v/>
      </c>
      <c r="W284" t="str">
        <f t="shared" si="58"/>
        <v/>
      </c>
      <c r="X284" t="str">
        <f t="shared" si="59"/>
        <v/>
      </c>
      <c r="Y284" t="e">
        <f>VLOOKUP($A284,Runs!$G:$G,1,FALSE)</f>
        <v>#N/A</v>
      </c>
    </row>
    <row r="285" spans="1:25" ht="22.5" customHeight="1" x14ac:dyDescent="0.25">
      <c r="A285" s="2" t="s">
        <v>148</v>
      </c>
      <c r="B285" s="2" t="s">
        <v>149</v>
      </c>
      <c r="C285" s="3">
        <v>4.7E-2</v>
      </c>
      <c r="D285" s="6" t="s">
        <v>105</v>
      </c>
      <c r="E285">
        <f>(30-C285*100)*VLOOKUP($D285,Calc!$A$1:$C$6,3,FALSE)</f>
        <v>25.3</v>
      </c>
      <c r="F285" s="6">
        <f>VLOOKUP(D285,Calc!$A$1:$B$6,2,FALSE)</f>
        <v>2</v>
      </c>
      <c r="G285" s="10">
        <f t="shared" si="48"/>
        <v>4.7199999999999999E-2</v>
      </c>
      <c r="H285" s="9">
        <f t="shared" si="49"/>
        <v>5.3000000000000001E-5</v>
      </c>
      <c r="I285" s="10">
        <f t="shared" si="50"/>
        <v>4.7205299999999999E-2</v>
      </c>
      <c r="J285" s="10">
        <f t="shared" si="51"/>
        <v>4.7205299999999999E-2</v>
      </c>
      <c r="K285" s="10" t="str">
        <f t="shared" si="52"/>
        <v/>
      </c>
      <c r="L285" s="9">
        <f t="shared" si="53"/>
        <v>1.9527947000000001</v>
      </c>
      <c r="M285" s="9">
        <f t="shared" si="54"/>
        <v>1.9527947000000001</v>
      </c>
      <c r="N285" s="9" t="str">
        <f t="shared" si="55"/>
        <v/>
      </c>
      <c r="O285" s="4" t="s">
        <v>755</v>
      </c>
      <c r="P285" s="1" t="s">
        <v>1696</v>
      </c>
      <c r="Q285" s="7" t="s">
        <v>881</v>
      </c>
      <c r="R285" s="8" t="s">
        <v>944</v>
      </c>
      <c r="S285" s="7"/>
      <c r="T285" s="7"/>
      <c r="U285" t="str">
        <f t="shared" si="56"/>
        <v/>
      </c>
      <c r="V285" t="str">
        <f t="shared" si="57"/>
        <v/>
      </c>
      <c r="W285" t="str">
        <f t="shared" si="58"/>
        <v/>
      </c>
      <c r="X285" t="str">
        <f t="shared" si="59"/>
        <v/>
      </c>
      <c r="Y285" t="str">
        <f>VLOOKUP($A285,Runs!$G:$G,1,FALSE)</f>
        <v>Imperio español</v>
      </c>
    </row>
    <row r="286" spans="1:25" ht="22.5" customHeight="1" x14ac:dyDescent="0.25">
      <c r="A286" s="2" t="s">
        <v>384</v>
      </c>
      <c r="B286" s="2" t="s">
        <v>385</v>
      </c>
      <c r="C286" s="3">
        <v>4.7E-2</v>
      </c>
      <c r="D286" s="6" t="s">
        <v>242</v>
      </c>
      <c r="E286">
        <f>(30-C286*100)*VLOOKUP($D286,Calc!$A$1:$C$6,3,FALSE)</f>
        <v>63.25</v>
      </c>
      <c r="F286" s="6">
        <f>VLOOKUP(D286,Calc!$A$1:$B$6,2,FALSE)</f>
        <v>3</v>
      </c>
      <c r="G286" s="10">
        <f t="shared" si="48"/>
        <v>4.7300000000000002E-2</v>
      </c>
      <c r="H286" s="9">
        <f t="shared" si="49"/>
        <v>1.06E-4</v>
      </c>
      <c r="I286" s="10">
        <f t="shared" si="50"/>
        <v>4.7310600000000001E-2</v>
      </c>
      <c r="J286" s="10">
        <f t="shared" si="51"/>
        <v>4.7310600000000001E-2</v>
      </c>
      <c r="K286" s="10" t="str">
        <f t="shared" si="52"/>
        <v/>
      </c>
      <c r="L286" s="9">
        <f t="shared" si="53"/>
        <v>2.9526894000000001</v>
      </c>
      <c r="M286" s="9">
        <f t="shared" si="54"/>
        <v>2.9526894000000001</v>
      </c>
      <c r="N286" s="9" t="str">
        <f t="shared" si="55"/>
        <v/>
      </c>
      <c r="O286" s="4" t="s">
        <v>755</v>
      </c>
      <c r="P286" s="1" t="s">
        <v>756</v>
      </c>
      <c r="Q286" s="7" t="s">
        <v>1022</v>
      </c>
      <c r="R286" s="7" t="s">
        <v>1270</v>
      </c>
      <c r="S286" s="8" t="s">
        <v>1271</v>
      </c>
      <c r="T286" s="7"/>
      <c r="U286" t="str">
        <f t="shared" si="56"/>
        <v/>
      </c>
      <c r="V286" t="str">
        <f t="shared" si="57"/>
        <v/>
      </c>
      <c r="W286" t="str">
        <f t="shared" si="58"/>
        <v/>
      </c>
      <c r="X286" t="str">
        <f t="shared" si="59"/>
        <v/>
      </c>
      <c r="Y286" t="e">
        <f>VLOOKUP($A286,Runs!$G:$G,1,FALSE)</f>
        <v>#N/A</v>
      </c>
    </row>
    <row r="287" spans="1:25" ht="22.5" customHeight="1" x14ac:dyDescent="0.25">
      <c r="A287" s="2" t="s">
        <v>204</v>
      </c>
      <c r="B287" s="2" t="s">
        <v>205</v>
      </c>
      <c r="C287" s="3">
        <v>4.8000000000000001E-2</v>
      </c>
      <c r="D287" s="6" t="s">
        <v>105</v>
      </c>
      <c r="E287">
        <f>(30-C287*100)*VLOOKUP($D287,Calc!$A$1:$C$6,3,FALSE)</f>
        <v>25.2</v>
      </c>
      <c r="F287" s="6">
        <f>VLOOKUP(D287,Calc!$A$1:$B$6,2,FALSE)</f>
        <v>2</v>
      </c>
      <c r="G287" s="10">
        <f t="shared" si="48"/>
        <v>4.82E-2</v>
      </c>
      <c r="H287" s="9">
        <f t="shared" si="49"/>
        <v>3.0000000000000001E-6</v>
      </c>
      <c r="I287" s="10">
        <f t="shared" si="50"/>
        <v>4.8200300000000001E-2</v>
      </c>
      <c r="J287" s="10">
        <f t="shared" si="51"/>
        <v>4.8200300000000001E-2</v>
      </c>
      <c r="K287" s="10" t="str">
        <f t="shared" si="52"/>
        <v/>
      </c>
      <c r="L287" s="9">
        <f t="shared" si="53"/>
        <v>1.9517997</v>
      </c>
      <c r="M287" s="9">
        <f t="shared" si="54"/>
        <v>1.9517997</v>
      </c>
      <c r="N287" s="9" t="str">
        <f t="shared" si="55"/>
        <v/>
      </c>
      <c r="O287" s="4" t="s">
        <v>755</v>
      </c>
      <c r="P287" s="1" t="s">
        <v>1676</v>
      </c>
      <c r="Q287" s="7"/>
      <c r="R287" s="7" t="s">
        <v>1043</v>
      </c>
      <c r="S287" s="8" t="s">
        <v>1044</v>
      </c>
      <c r="T287" s="7"/>
      <c r="U287" t="str">
        <f t="shared" si="56"/>
        <v/>
      </c>
      <c r="V287" t="str">
        <f t="shared" si="57"/>
        <v/>
      </c>
      <c r="W287" t="str">
        <f t="shared" si="58"/>
        <v/>
      </c>
      <c r="X287" t="str">
        <f t="shared" si="59"/>
        <v/>
      </c>
      <c r="Y287" t="e">
        <f>VLOOKUP($A287,Runs!$G:$G,1,FALSE)</f>
        <v>#N/A</v>
      </c>
    </row>
    <row r="288" spans="1:25" ht="22.5" customHeight="1" x14ac:dyDescent="0.25">
      <c r="A288" s="2" t="s">
        <v>300</v>
      </c>
      <c r="B288" s="2" t="s">
        <v>301</v>
      </c>
      <c r="C288" s="3">
        <v>4.8000000000000001E-2</v>
      </c>
      <c r="D288" s="6" t="s">
        <v>242</v>
      </c>
      <c r="E288">
        <f>(30-C288*100)*VLOOKUP($D288,Calc!$A$1:$C$6,3,FALSE)</f>
        <v>63</v>
      </c>
      <c r="F288" s="6">
        <f>VLOOKUP(D288,Calc!$A$1:$B$6,2,FALSE)</f>
        <v>3</v>
      </c>
      <c r="G288" s="10">
        <f t="shared" si="48"/>
        <v>4.8300000000000003E-2</v>
      </c>
      <c r="H288" s="9">
        <f t="shared" si="49"/>
        <v>1.1400000000000001E-4</v>
      </c>
      <c r="I288" s="10">
        <f t="shared" si="50"/>
        <v>4.8311400000000004E-2</v>
      </c>
      <c r="J288" s="10">
        <f t="shared" si="51"/>
        <v>4.8311400000000004E-2</v>
      </c>
      <c r="K288" s="10" t="str">
        <f t="shared" si="52"/>
        <v/>
      </c>
      <c r="L288" s="9">
        <f t="shared" si="53"/>
        <v>2.9516885999999998</v>
      </c>
      <c r="M288" s="9">
        <f t="shared" si="54"/>
        <v>2.9516885999999998</v>
      </c>
      <c r="N288" s="9" t="str">
        <f t="shared" si="55"/>
        <v/>
      </c>
      <c r="O288" s="4" t="s">
        <v>755</v>
      </c>
      <c r="P288" s="1" t="s">
        <v>756</v>
      </c>
      <c r="Q288" s="7" t="s">
        <v>866</v>
      </c>
      <c r="R288" s="8" t="s">
        <v>1128</v>
      </c>
      <c r="S288" s="7"/>
      <c r="T288" s="7" t="s">
        <v>770</v>
      </c>
      <c r="U288" t="str">
        <f t="shared" si="56"/>
        <v/>
      </c>
      <c r="V288" t="str">
        <f t="shared" si="57"/>
        <v/>
      </c>
      <c r="W288" t="str">
        <f t="shared" si="58"/>
        <v/>
      </c>
      <c r="X288" t="str">
        <f t="shared" si="59"/>
        <v/>
      </c>
      <c r="Y288" t="e">
        <f>VLOOKUP($A288,Runs!$G:$G,1,FALSE)</f>
        <v>#N/A</v>
      </c>
    </row>
    <row r="289" spans="1:25" ht="22.5" customHeight="1" x14ac:dyDescent="0.25">
      <c r="A289" s="2" t="s">
        <v>89</v>
      </c>
      <c r="B289" s="2" t="s">
        <v>90</v>
      </c>
      <c r="C289" s="3">
        <v>4.8000000000000001E-2</v>
      </c>
      <c r="D289" s="6" t="s">
        <v>2</v>
      </c>
      <c r="E289">
        <f>(30-C289*100)*VLOOKUP($D289,Calc!$A$1:$C$6,3,FALSE)</f>
        <v>12.6</v>
      </c>
      <c r="F289" s="6">
        <f>VLOOKUP(D289,Calc!$A$1:$B$6,2,FALSE)</f>
        <v>1</v>
      </c>
      <c r="G289" s="10">
        <f t="shared" si="48"/>
        <v>4.8100000000000004E-2</v>
      </c>
      <c r="H289" s="9">
        <f t="shared" si="49"/>
        <v>8.0000000000000007E-5</v>
      </c>
      <c r="I289" s="10">
        <f t="shared" si="50"/>
        <v>4.8108000000000005E-2</v>
      </c>
      <c r="J289" s="10">
        <f t="shared" si="51"/>
        <v>4.8108000000000005E-2</v>
      </c>
      <c r="K289" s="10" t="str">
        <f t="shared" si="52"/>
        <v/>
      </c>
      <c r="L289" s="9">
        <f t="shared" si="53"/>
        <v>0.95189199999999996</v>
      </c>
      <c r="M289" s="9">
        <f t="shared" si="54"/>
        <v>0.95189199999999996</v>
      </c>
      <c r="N289" s="9" t="str">
        <f t="shared" si="55"/>
        <v/>
      </c>
      <c r="O289" s="4" t="s">
        <v>755</v>
      </c>
      <c r="P289" s="1" t="s">
        <v>1678</v>
      </c>
      <c r="Q289" s="7"/>
      <c r="R289" s="8" t="s">
        <v>950</v>
      </c>
      <c r="S289" s="7"/>
      <c r="T289" s="7" t="s">
        <v>770</v>
      </c>
      <c r="U289" t="str">
        <f t="shared" si="56"/>
        <v/>
      </c>
      <c r="V289" t="str">
        <f t="shared" si="57"/>
        <v/>
      </c>
      <c r="W289" t="str">
        <f t="shared" si="58"/>
        <v/>
      </c>
      <c r="X289" t="str">
        <f t="shared" si="59"/>
        <v/>
      </c>
      <c r="Y289" t="e">
        <f>VLOOKUP($A289,Runs!$G:$G,1,FALSE)</f>
        <v>#N/A</v>
      </c>
    </row>
    <row r="290" spans="1:25" ht="22.5" customHeight="1" x14ac:dyDescent="0.25">
      <c r="A290" s="2" t="s">
        <v>376</v>
      </c>
      <c r="B290" s="2" t="s">
        <v>377</v>
      </c>
      <c r="C290" s="3">
        <v>4.9000000000000002E-2</v>
      </c>
      <c r="D290" s="6" t="s">
        <v>242</v>
      </c>
      <c r="E290">
        <f>(30-C290*100)*VLOOKUP($D290,Calc!$A$1:$C$6,3,FALSE)</f>
        <v>62.75</v>
      </c>
      <c r="F290" s="6">
        <f>VLOOKUP(D290,Calc!$A$1:$B$6,2,FALSE)</f>
        <v>3</v>
      </c>
      <c r="G290" s="10">
        <f t="shared" si="48"/>
        <v>4.9300000000000004E-2</v>
      </c>
      <c r="H290" s="9">
        <f t="shared" si="49"/>
        <v>9.6000000000000002E-5</v>
      </c>
      <c r="I290" s="10">
        <f t="shared" si="50"/>
        <v>4.9309600000000002E-2</v>
      </c>
      <c r="J290" s="10">
        <f t="shared" si="51"/>
        <v>4.9309600000000002E-2</v>
      </c>
      <c r="K290" s="10" t="str">
        <f t="shared" si="52"/>
        <v/>
      </c>
      <c r="L290" s="9">
        <f t="shared" si="53"/>
        <v>2.9506904</v>
      </c>
      <c r="M290" s="9">
        <f t="shared" si="54"/>
        <v>2.9506904</v>
      </c>
      <c r="N290" s="9" t="str">
        <f t="shared" si="55"/>
        <v/>
      </c>
      <c r="O290" s="4" t="s">
        <v>755</v>
      </c>
      <c r="Q290" s="7"/>
      <c r="R290" s="7" t="s">
        <v>1254</v>
      </c>
      <c r="S290" s="8" t="s">
        <v>1255</v>
      </c>
      <c r="T290" s="7"/>
      <c r="U290" t="str">
        <f t="shared" si="56"/>
        <v/>
      </c>
      <c r="V290" t="str">
        <f t="shared" si="57"/>
        <v/>
      </c>
      <c r="W290" t="str">
        <f t="shared" si="58"/>
        <v/>
      </c>
      <c r="X290" t="str">
        <f t="shared" si="59"/>
        <v/>
      </c>
      <c r="Y290" t="e">
        <f>VLOOKUP($A290,Runs!$G:$G,1,FALSE)</f>
        <v>#N/A</v>
      </c>
    </row>
    <row r="291" spans="1:25" ht="22.5" customHeight="1" x14ac:dyDescent="0.25">
      <c r="A291" s="2" t="s">
        <v>124</v>
      </c>
      <c r="B291" s="2" t="s">
        <v>125</v>
      </c>
      <c r="C291" s="3">
        <v>5.2999999999999999E-2</v>
      </c>
      <c r="D291" s="6" t="s">
        <v>105</v>
      </c>
      <c r="E291">
        <f>(30-C291*100)*VLOOKUP($D291,Calc!$A$1:$C$6,3,FALSE)</f>
        <v>24.7</v>
      </c>
      <c r="F291" s="6">
        <f>VLOOKUP(D291,Calc!$A$1:$B$6,2,FALSE)</f>
        <v>2</v>
      </c>
      <c r="G291" s="10">
        <f t="shared" si="48"/>
        <v>5.3199999999999997E-2</v>
      </c>
      <c r="H291" s="9">
        <f t="shared" si="49"/>
        <v>4.8000000000000001E-5</v>
      </c>
      <c r="I291" s="10">
        <f t="shared" si="50"/>
        <v>5.3204799999999997E-2</v>
      </c>
      <c r="J291" s="10">
        <f t="shared" si="51"/>
        <v>5.3204799999999997E-2</v>
      </c>
      <c r="K291" s="10" t="str">
        <f t="shared" si="52"/>
        <v/>
      </c>
      <c r="L291" s="9">
        <f t="shared" si="53"/>
        <v>1.9467951999999999</v>
      </c>
      <c r="M291" s="9">
        <f t="shared" si="54"/>
        <v>1.9467951999999999</v>
      </c>
      <c r="N291" s="9" t="str">
        <f t="shared" si="55"/>
        <v/>
      </c>
      <c r="O291" s="4" t="s">
        <v>755</v>
      </c>
      <c r="P291" s="1" t="s">
        <v>1706</v>
      </c>
      <c r="Q291" s="7"/>
      <c r="R291" s="7" t="s">
        <v>902</v>
      </c>
      <c r="S291" s="8" t="s">
        <v>903</v>
      </c>
      <c r="T291" s="7"/>
      <c r="U291" t="str">
        <f t="shared" si="56"/>
        <v/>
      </c>
      <c r="V291" t="str">
        <f t="shared" si="57"/>
        <v/>
      </c>
      <c r="W291" t="str">
        <f t="shared" si="58"/>
        <v/>
      </c>
      <c r="X291" t="str">
        <f t="shared" si="59"/>
        <v/>
      </c>
      <c r="Y291" t="e">
        <f>VLOOKUP($A291,Runs!$G:$G,1,FALSE)</f>
        <v>#N/A</v>
      </c>
    </row>
    <row r="292" spans="1:25" ht="22.5" customHeight="1" x14ac:dyDescent="0.25">
      <c r="A292" s="2" t="s">
        <v>144</v>
      </c>
      <c r="B292" s="2" t="s">
        <v>145</v>
      </c>
      <c r="C292" s="3">
        <v>5.3999999999999999E-2</v>
      </c>
      <c r="D292" s="6" t="s">
        <v>105</v>
      </c>
      <c r="E292">
        <f>(30-C292*100)*VLOOKUP($D292,Calc!$A$1:$C$6,3,FALSE)</f>
        <v>24.6</v>
      </c>
      <c r="F292" s="6">
        <f>VLOOKUP(D292,Calc!$A$1:$B$6,2,FALSE)</f>
        <v>2</v>
      </c>
      <c r="G292" s="10">
        <f t="shared" si="48"/>
        <v>5.4199999999999998E-2</v>
      </c>
      <c r="H292" s="9">
        <f t="shared" si="49"/>
        <v>3.0000000000000001E-5</v>
      </c>
      <c r="I292" s="10">
        <f t="shared" si="50"/>
        <v>5.4203000000000001E-2</v>
      </c>
      <c r="J292" s="10">
        <f t="shared" si="51"/>
        <v>5.4203000000000001E-2</v>
      </c>
      <c r="K292" s="10" t="str">
        <f t="shared" si="52"/>
        <v/>
      </c>
      <c r="L292" s="9">
        <f t="shared" si="53"/>
        <v>1.945797</v>
      </c>
      <c r="M292" s="9">
        <f t="shared" si="54"/>
        <v>1.945797</v>
      </c>
      <c r="N292" s="9" t="str">
        <f t="shared" si="55"/>
        <v/>
      </c>
      <c r="O292" s="4" t="s">
        <v>755</v>
      </c>
      <c r="P292" s="1" t="s">
        <v>1663</v>
      </c>
      <c r="Q292" s="7"/>
      <c r="R292" s="7" t="s">
        <v>935</v>
      </c>
      <c r="S292" s="8" t="s">
        <v>936</v>
      </c>
      <c r="T292" s="7"/>
      <c r="U292" t="str">
        <f t="shared" si="56"/>
        <v/>
      </c>
      <c r="V292" t="str">
        <f t="shared" si="57"/>
        <v/>
      </c>
      <c r="W292" t="str">
        <f t="shared" si="58"/>
        <v/>
      </c>
      <c r="X292" t="str">
        <f t="shared" si="59"/>
        <v/>
      </c>
      <c r="Y292" t="e">
        <f>VLOOKUP($A292,Runs!$G:$G,1,FALSE)</f>
        <v>#N/A</v>
      </c>
    </row>
    <row r="293" spans="1:25" ht="22.5" customHeight="1" x14ac:dyDescent="0.25">
      <c r="A293" s="2" t="s">
        <v>233</v>
      </c>
      <c r="B293" s="2" t="s">
        <v>234</v>
      </c>
      <c r="C293" s="3">
        <v>5.3999999999999999E-2</v>
      </c>
      <c r="D293" s="6" t="s">
        <v>105</v>
      </c>
      <c r="E293">
        <f>(30-C293*100)*VLOOKUP($D293,Calc!$A$1:$C$6,3,FALSE)</f>
        <v>24.6</v>
      </c>
      <c r="F293" s="6">
        <f>VLOOKUP(D293,Calc!$A$1:$B$6,2,FALSE)</f>
        <v>2</v>
      </c>
      <c r="G293" s="10">
        <f t="shared" si="48"/>
        <v>5.4199999999999998E-2</v>
      </c>
      <c r="H293" s="9">
        <f t="shared" si="49"/>
        <v>2.5000000000000001E-5</v>
      </c>
      <c r="I293" s="10">
        <f t="shared" si="50"/>
        <v>5.4202500000000001E-2</v>
      </c>
      <c r="J293" s="10">
        <f t="shared" si="51"/>
        <v>5.4202500000000001E-2</v>
      </c>
      <c r="K293" s="10" t="str">
        <f t="shared" si="52"/>
        <v/>
      </c>
      <c r="L293" s="9">
        <f t="shared" si="53"/>
        <v>1.9457975000000001</v>
      </c>
      <c r="M293" s="9">
        <f t="shared" si="54"/>
        <v>1.9457975000000001</v>
      </c>
      <c r="N293" s="9" t="str">
        <f t="shared" si="55"/>
        <v/>
      </c>
      <c r="O293" s="4" t="s">
        <v>755</v>
      </c>
      <c r="P293" s="1" t="s">
        <v>756</v>
      </c>
      <c r="Q293" s="7" t="s">
        <v>932</v>
      </c>
      <c r="R293" s="8" t="s">
        <v>1337</v>
      </c>
      <c r="S293" s="7"/>
      <c r="T293" s="7"/>
      <c r="U293" t="str">
        <f t="shared" si="56"/>
        <v/>
      </c>
      <c r="V293" t="str">
        <f t="shared" si="57"/>
        <v/>
      </c>
      <c r="W293" t="str">
        <f t="shared" si="58"/>
        <v/>
      </c>
      <c r="X293" t="str">
        <f t="shared" si="59"/>
        <v/>
      </c>
      <c r="Y293" t="e">
        <f>VLOOKUP($A293,Runs!$G:$G,1,FALSE)</f>
        <v>#N/A</v>
      </c>
    </row>
    <row r="294" spans="1:25" ht="22.5" customHeight="1" x14ac:dyDescent="0.25">
      <c r="A294" s="2" t="s">
        <v>229</v>
      </c>
      <c r="B294" s="2" t="s">
        <v>230</v>
      </c>
      <c r="C294" s="3">
        <v>5.3999999999999999E-2</v>
      </c>
      <c r="D294" s="6" t="s">
        <v>105</v>
      </c>
      <c r="E294">
        <f>(30-C294*100)*VLOOKUP($D294,Calc!$A$1:$C$6,3,FALSE)</f>
        <v>24.6</v>
      </c>
      <c r="F294" s="6">
        <f>VLOOKUP(D294,Calc!$A$1:$B$6,2,FALSE)</f>
        <v>2</v>
      </c>
      <c r="G294" s="10">
        <f t="shared" si="48"/>
        <v>5.4199999999999998E-2</v>
      </c>
      <c r="H294" s="9">
        <f t="shared" si="49"/>
        <v>3.1999999999999999E-5</v>
      </c>
      <c r="I294" s="10">
        <f t="shared" si="50"/>
        <v>5.42032E-2</v>
      </c>
      <c r="J294" s="10">
        <f t="shared" si="51"/>
        <v>5.42032E-2</v>
      </c>
      <c r="K294" s="10" t="str">
        <f t="shared" si="52"/>
        <v/>
      </c>
      <c r="L294" s="9">
        <f t="shared" si="53"/>
        <v>1.9457968000000001</v>
      </c>
      <c r="M294" s="9">
        <f t="shared" si="54"/>
        <v>1.9457968000000001</v>
      </c>
      <c r="N294" s="9" t="str">
        <f t="shared" si="55"/>
        <v/>
      </c>
      <c r="O294" s="4" t="s">
        <v>755</v>
      </c>
      <c r="P294" s="1" t="s">
        <v>1667</v>
      </c>
      <c r="Q294" s="7"/>
      <c r="R294" s="7" t="s">
        <v>1289</v>
      </c>
      <c r="S294" s="8" t="s">
        <v>1290</v>
      </c>
      <c r="T294" s="7"/>
      <c r="U294" t="str">
        <f t="shared" si="56"/>
        <v/>
      </c>
      <c r="V294" t="str">
        <f t="shared" si="57"/>
        <v/>
      </c>
      <c r="W294" t="str">
        <f t="shared" si="58"/>
        <v/>
      </c>
      <c r="X294" t="str">
        <f t="shared" si="59"/>
        <v/>
      </c>
      <c r="Y294" t="e">
        <f>VLOOKUP($A294,Runs!$G:$G,1,FALSE)</f>
        <v>#N/A</v>
      </c>
    </row>
    <row r="295" spans="1:25" ht="22.5" customHeight="1" x14ac:dyDescent="0.25">
      <c r="A295" s="2" t="s">
        <v>414</v>
      </c>
      <c r="B295" s="2" t="s">
        <v>415</v>
      </c>
      <c r="C295" s="3">
        <v>5.3999999999999999E-2</v>
      </c>
      <c r="D295" s="6" t="s">
        <v>242</v>
      </c>
      <c r="E295">
        <f>(30-C295*100)*VLOOKUP($D295,Calc!$A$1:$C$6,3,FALSE)</f>
        <v>61.5</v>
      </c>
      <c r="F295" s="6">
        <f>VLOOKUP(D295,Calc!$A$1:$B$6,2,FALSE)</f>
        <v>3</v>
      </c>
      <c r="G295" s="10">
        <f t="shared" si="48"/>
        <v>5.4300000000000001E-2</v>
      </c>
      <c r="H295" s="9">
        <f t="shared" si="49"/>
        <v>5.5000000000000002E-5</v>
      </c>
      <c r="I295" s="10">
        <f t="shared" si="50"/>
        <v>5.43055E-2</v>
      </c>
      <c r="J295" s="10">
        <f t="shared" si="51"/>
        <v>5.43055E-2</v>
      </c>
      <c r="K295" s="10" t="str">
        <f t="shared" si="52"/>
        <v/>
      </c>
      <c r="L295" s="9">
        <f t="shared" si="53"/>
        <v>2.9456945000000001</v>
      </c>
      <c r="M295" s="9">
        <f t="shared" si="54"/>
        <v>2.9456945000000001</v>
      </c>
      <c r="N295" s="9" t="str">
        <f t="shared" si="55"/>
        <v/>
      </c>
      <c r="O295" s="4" t="s">
        <v>755</v>
      </c>
      <c r="P295" s="1" t="s">
        <v>1709</v>
      </c>
      <c r="Q295" s="7" t="s">
        <v>1432</v>
      </c>
      <c r="R295" s="7" t="s">
        <v>1433</v>
      </c>
      <c r="S295" s="8" t="s">
        <v>1434</v>
      </c>
      <c r="T295" s="7"/>
      <c r="U295" t="str">
        <f t="shared" si="56"/>
        <v/>
      </c>
      <c r="V295" t="str">
        <f t="shared" si="57"/>
        <v/>
      </c>
      <c r="W295" t="str">
        <f t="shared" si="58"/>
        <v/>
      </c>
      <c r="X295" t="str">
        <f t="shared" si="59"/>
        <v/>
      </c>
      <c r="Y295" t="e">
        <f>VLOOKUP($A295,Runs!$G:$G,1,FALSE)</f>
        <v>#N/A</v>
      </c>
    </row>
    <row r="296" spans="1:25" ht="22.5" customHeight="1" x14ac:dyDescent="0.25">
      <c r="A296" s="2" t="s">
        <v>391</v>
      </c>
      <c r="B296" s="2" t="s">
        <v>392</v>
      </c>
      <c r="C296" s="3">
        <v>5.5E-2</v>
      </c>
      <c r="D296" s="6" t="s">
        <v>242</v>
      </c>
      <c r="E296">
        <f>(30-C296*100)*VLOOKUP($D296,Calc!$A$1:$C$6,3,FALSE)</f>
        <v>61.25</v>
      </c>
      <c r="F296" s="6">
        <f>VLOOKUP(D296,Calc!$A$1:$B$6,2,FALSE)</f>
        <v>3</v>
      </c>
      <c r="G296" s="10">
        <f t="shared" si="48"/>
        <v>5.5300000000000002E-2</v>
      </c>
      <c r="H296" s="9">
        <f t="shared" si="49"/>
        <v>2.0000000000000002E-5</v>
      </c>
      <c r="I296" s="10">
        <f t="shared" si="50"/>
        <v>5.5302000000000004E-2</v>
      </c>
      <c r="J296" s="10">
        <f t="shared" si="51"/>
        <v>5.5302000000000004E-2</v>
      </c>
      <c r="K296" s="10" t="str">
        <f t="shared" si="52"/>
        <v/>
      </c>
      <c r="L296" s="9">
        <f t="shared" si="53"/>
        <v>2.9446979999999998</v>
      </c>
      <c r="M296" s="9">
        <f t="shared" si="54"/>
        <v>2.9446979999999998</v>
      </c>
      <c r="N296" s="9" t="str">
        <f t="shared" si="55"/>
        <v/>
      </c>
      <c r="O296" s="4" t="s">
        <v>755</v>
      </c>
      <c r="Q296" s="7"/>
      <c r="R296" s="7" t="s">
        <v>1284</v>
      </c>
      <c r="S296" s="8" t="s">
        <v>1285</v>
      </c>
      <c r="T296" s="7"/>
      <c r="U296" t="str">
        <f t="shared" si="56"/>
        <v/>
      </c>
      <c r="V296" t="str">
        <f t="shared" si="57"/>
        <v/>
      </c>
      <c r="W296" t="str">
        <f t="shared" si="58"/>
        <v/>
      </c>
      <c r="X296" t="str">
        <f t="shared" si="59"/>
        <v/>
      </c>
      <c r="Y296" t="e">
        <f>VLOOKUP($A296,Runs!$G:$G,1,FALSE)</f>
        <v>#N/A</v>
      </c>
    </row>
    <row r="297" spans="1:25" ht="22.5" customHeight="1" x14ac:dyDescent="0.25">
      <c r="A297" s="2" t="s">
        <v>3</v>
      </c>
      <c r="B297" s="2" t="s">
        <v>4</v>
      </c>
      <c r="C297" s="3">
        <v>5.5E-2</v>
      </c>
      <c r="D297" s="6" t="s">
        <v>2</v>
      </c>
      <c r="E297">
        <f>(30-C297*100)*VLOOKUP($D297,Calc!$A$1:$C$6,3,FALSE)</f>
        <v>12.25</v>
      </c>
      <c r="F297" s="6">
        <f>VLOOKUP(D297,Calc!$A$1:$B$6,2,FALSE)</f>
        <v>1</v>
      </c>
      <c r="G297" s="10">
        <f t="shared" si="48"/>
        <v>5.5100000000000003E-2</v>
      </c>
      <c r="H297" s="9">
        <f t="shared" si="49"/>
        <v>4.6E-5</v>
      </c>
      <c r="I297" s="10">
        <f t="shared" si="50"/>
        <v>5.5104600000000004E-2</v>
      </c>
      <c r="J297" s="10">
        <f t="shared" si="51"/>
        <v>5.5104600000000004E-2</v>
      </c>
      <c r="K297" s="10" t="str">
        <f t="shared" si="52"/>
        <v/>
      </c>
      <c r="L297" s="9">
        <f t="shared" si="53"/>
        <v>0.94489540000000005</v>
      </c>
      <c r="M297" s="9">
        <f t="shared" si="54"/>
        <v>0.94489540000000005</v>
      </c>
      <c r="N297" s="9" t="str">
        <f t="shared" si="55"/>
        <v/>
      </c>
      <c r="O297" s="4" t="s">
        <v>755</v>
      </c>
      <c r="P297" s="1" t="s">
        <v>1684</v>
      </c>
      <c r="Q297" s="7"/>
      <c r="R297" s="7" t="s">
        <v>771</v>
      </c>
      <c r="S297" s="8" t="s">
        <v>772</v>
      </c>
      <c r="T297" s="7"/>
      <c r="U297" t="str">
        <f t="shared" si="56"/>
        <v/>
      </c>
      <c r="V297" t="str">
        <f t="shared" si="57"/>
        <v/>
      </c>
      <c r="W297" t="str">
        <f t="shared" si="58"/>
        <v/>
      </c>
      <c r="X297" t="str">
        <f t="shared" si="59"/>
        <v/>
      </c>
      <c r="Y297" t="e">
        <f>VLOOKUP($A297,Runs!$G:$G,1,FALSE)</f>
        <v>#N/A</v>
      </c>
    </row>
    <row r="298" spans="1:25" ht="22.5" customHeight="1" x14ac:dyDescent="0.25">
      <c r="A298" s="2" t="s">
        <v>63</v>
      </c>
      <c r="B298" s="2" t="s">
        <v>64</v>
      </c>
      <c r="C298" s="3">
        <v>5.6000000000000001E-2</v>
      </c>
      <c r="D298" s="6" t="s">
        <v>2</v>
      </c>
      <c r="E298">
        <f>(30-C298*100)*VLOOKUP($D298,Calc!$A$1:$C$6,3,FALSE)</f>
        <v>12.2</v>
      </c>
      <c r="F298" s="6">
        <f>VLOOKUP(D298,Calc!$A$1:$B$6,2,FALSE)</f>
        <v>1</v>
      </c>
      <c r="G298" s="10">
        <f t="shared" si="48"/>
        <v>5.6100000000000004E-2</v>
      </c>
      <c r="H298" s="9">
        <f t="shared" si="49"/>
        <v>6.2000000000000003E-5</v>
      </c>
      <c r="I298" s="10">
        <f t="shared" si="50"/>
        <v>5.6106200000000002E-2</v>
      </c>
      <c r="J298" s="10">
        <f t="shared" si="51"/>
        <v>5.6106200000000002E-2</v>
      </c>
      <c r="K298" s="10" t="str">
        <f t="shared" si="52"/>
        <v/>
      </c>
      <c r="L298" s="9">
        <f t="shared" si="53"/>
        <v>0.94389380000000001</v>
      </c>
      <c r="M298" s="9">
        <f t="shared" si="54"/>
        <v>0.94389380000000001</v>
      </c>
      <c r="N298" s="9" t="str">
        <f t="shared" si="55"/>
        <v/>
      </c>
      <c r="O298" s="4" t="s">
        <v>755</v>
      </c>
      <c r="Q298" s="7" t="s">
        <v>851</v>
      </c>
      <c r="R298" s="7" t="s">
        <v>852</v>
      </c>
      <c r="S298" s="8" t="s">
        <v>853</v>
      </c>
      <c r="T298" s="7"/>
      <c r="U298" t="str">
        <f t="shared" si="56"/>
        <v/>
      </c>
      <c r="V298" t="str">
        <f t="shared" si="57"/>
        <v/>
      </c>
      <c r="W298" t="str">
        <f t="shared" si="58"/>
        <v/>
      </c>
      <c r="X298" t="str">
        <f t="shared" si="59"/>
        <v/>
      </c>
      <c r="Y298" t="e">
        <f>VLOOKUP($A298,Runs!$G:$G,1,FALSE)</f>
        <v>#N/A</v>
      </c>
    </row>
    <row r="299" spans="1:25" ht="22.5" customHeight="1" x14ac:dyDescent="0.25">
      <c r="A299" s="2" t="s">
        <v>304</v>
      </c>
      <c r="B299" s="2" t="s">
        <v>305</v>
      </c>
      <c r="C299" s="3">
        <v>5.8999999999999997E-2</v>
      </c>
      <c r="D299" s="6" t="s">
        <v>242</v>
      </c>
      <c r="E299">
        <f>(30-C299*100)*VLOOKUP($D299,Calc!$A$1:$C$6,3,FALSE)</f>
        <v>60.25</v>
      </c>
      <c r="F299" s="6">
        <f>VLOOKUP(D299,Calc!$A$1:$B$6,2,FALSE)</f>
        <v>3</v>
      </c>
      <c r="G299" s="10">
        <f t="shared" si="48"/>
        <v>5.9299999999999999E-2</v>
      </c>
      <c r="H299" s="9">
        <f t="shared" si="49"/>
        <v>4.0000000000000003E-5</v>
      </c>
      <c r="I299" s="10">
        <f t="shared" si="50"/>
        <v>5.9303999999999996E-2</v>
      </c>
      <c r="J299" s="10">
        <f t="shared" si="51"/>
        <v>5.9303999999999996E-2</v>
      </c>
      <c r="K299" s="10" t="str">
        <f t="shared" si="52"/>
        <v/>
      </c>
      <c r="L299" s="9">
        <f t="shared" si="53"/>
        <v>2.940696</v>
      </c>
      <c r="M299" s="9">
        <f t="shared" si="54"/>
        <v>2.940696</v>
      </c>
      <c r="N299" s="9" t="str">
        <f t="shared" si="55"/>
        <v/>
      </c>
      <c r="O299" s="4" t="s">
        <v>755</v>
      </c>
      <c r="P299" s="1" t="s">
        <v>757</v>
      </c>
      <c r="Q299" s="7" t="s">
        <v>1131</v>
      </c>
      <c r="R299" s="7" t="s">
        <v>1132</v>
      </c>
      <c r="S299" s="8" t="s">
        <v>1133</v>
      </c>
      <c r="T299" s="7"/>
      <c r="U299" t="str">
        <f t="shared" si="56"/>
        <v/>
      </c>
      <c r="V299" t="str">
        <f t="shared" si="57"/>
        <v/>
      </c>
      <c r="W299" t="str">
        <f t="shared" si="58"/>
        <v/>
      </c>
      <c r="X299" t="str">
        <f t="shared" si="59"/>
        <v/>
      </c>
      <c r="Y299" t="e">
        <f>VLOOKUP($A299,Runs!$G:$G,1,FALSE)</f>
        <v>#N/A</v>
      </c>
    </row>
    <row r="300" spans="1:25" ht="22.5" customHeight="1" x14ac:dyDescent="0.25">
      <c r="A300" s="2" t="s">
        <v>281</v>
      </c>
      <c r="B300" s="2" t="s">
        <v>282</v>
      </c>
      <c r="C300" s="3">
        <v>5.8999999999999997E-2</v>
      </c>
      <c r="D300" s="6" t="s">
        <v>242</v>
      </c>
      <c r="E300">
        <f>(30-C300*100)*VLOOKUP($D300,Calc!$A$1:$C$6,3,FALSE)</f>
        <v>60.25</v>
      </c>
      <c r="F300" s="6">
        <f>VLOOKUP(D300,Calc!$A$1:$B$6,2,FALSE)</f>
        <v>3</v>
      </c>
      <c r="G300" s="10">
        <f t="shared" si="48"/>
        <v>5.9299999999999999E-2</v>
      </c>
      <c r="H300" s="9">
        <f t="shared" si="49"/>
        <v>3.1000000000000001E-5</v>
      </c>
      <c r="I300" s="10">
        <f t="shared" si="50"/>
        <v>5.9303099999999997E-2</v>
      </c>
      <c r="J300" s="10">
        <f t="shared" si="51"/>
        <v>5.9303099999999997E-2</v>
      </c>
      <c r="K300" s="10" t="str">
        <f t="shared" si="52"/>
        <v/>
      </c>
      <c r="L300" s="9">
        <f t="shared" si="53"/>
        <v>2.9406968999999998</v>
      </c>
      <c r="M300" s="9">
        <f t="shared" si="54"/>
        <v>2.9406968999999998</v>
      </c>
      <c r="N300" s="9" t="str">
        <f t="shared" si="55"/>
        <v/>
      </c>
      <c r="O300" s="4" t="s">
        <v>755</v>
      </c>
      <c r="P300" s="1" t="s">
        <v>762</v>
      </c>
      <c r="Q300" s="7" t="s">
        <v>797</v>
      </c>
      <c r="R300" s="7" t="s">
        <v>1092</v>
      </c>
      <c r="S300" s="7" t="s">
        <v>1093</v>
      </c>
      <c r="T300" s="7" t="s">
        <v>775</v>
      </c>
      <c r="U300" t="str">
        <f t="shared" si="56"/>
        <v/>
      </c>
      <c r="V300" t="str">
        <f t="shared" si="57"/>
        <v/>
      </c>
      <c r="W300" t="str">
        <f t="shared" si="58"/>
        <v/>
      </c>
      <c r="X300" t="str">
        <f t="shared" si="59"/>
        <v/>
      </c>
      <c r="Y300" t="e">
        <f>VLOOKUP($A300,Runs!$G:$G,1,FALSE)</f>
        <v>#N/A</v>
      </c>
    </row>
    <row r="301" spans="1:25" ht="22.5" customHeight="1" x14ac:dyDescent="0.25">
      <c r="A301" s="2" t="s">
        <v>101</v>
      </c>
      <c r="B301" s="2" t="s">
        <v>102</v>
      </c>
      <c r="C301" s="3">
        <v>5.8999999999999997E-2</v>
      </c>
      <c r="D301" s="6" t="s">
        <v>2</v>
      </c>
      <c r="E301">
        <f>(30-C301*100)*VLOOKUP($D301,Calc!$A$1:$C$6,3,FALSE)</f>
        <v>12.05</v>
      </c>
      <c r="F301" s="6">
        <f>VLOOKUP(D301,Calc!$A$1:$B$6,2,FALSE)</f>
        <v>1</v>
      </c>
      <c r="G301" s="10">
        <f t="shared" si="48"/>
        <v>5.91E-2</v>
      </c>
      <c r="H301" s="9">
        <f t="shared" si="49"/>
        <v>1.54E-4</v>
      </c>
      <c r="I301" s="10">
        <f t="shared" si="50"/>
        <v>5.9115399999999999E-2</v>
      </c>
      <c r="J301" s="10">
        <f t="shared" si="51"/>
        <v>5.9115399999999999E-2</v>
      </c>
      <c r="K301" s="10" t="str">
        <f t="shared" si="52"/>
        <v/>
      </c>
      <c r="L301" s="9">
        <f t="shared" si="53"/>
        <v>0.94088459999999996</v>
      </c>
      <c r="M301" s="9">
        <f t="shared" si="54"/>
        <v>0.94088459999999996</v>
      </c>
      <c r="N301" s="9" t="str">
        <f t="shared" si="55"/>
        <v/>
      </c>
      <c r="O301" s="4" t="s">
        <v>755</v>
      </c>
      <c r="Q301" s="7"/>
      <c r="R301" s="7" t="s">
        <v>1257</v>
      </c>
      <c r="S301" s="8" t="s">
        <v>1258</v>
      </c>
      <c r="T301" s="7"/>
      <c r="U301" t="str">
        <f t="shared" si="56"/>
        <v/>
      </c>
      <c r="V301" t="str">
        <f t="shared" si="57"/>
        <v/>
      </c>
      <c r="W301" t="str">
        <f t="shared" si="58"/>
        <v/>
      </c>
      <c r="X301" t="str">
        <f t="shared" si="59"/>
        <v/>
      </c>
      <c r="Y301" t="e">
        <f>VLOOKUP($A301,Runs!$G:$G,1,FALSE)</f>
        <v>#N/A</v>
      </c>
    </row>
    <row r="302" spans="1:25" ht="22.5" customHeight="1" x14ac:dyDescent="0.25">
      <c r="A302" s="2" t="s">
        <v>25</v>
      </c>
      <c r="B302" s="2" t="s">
        <v>26</v>
      </c>
      <c r="C302" s="3">
        <v>6.0999999999999999E-2</v>
      </c>
      <c r="D302" s="6" t="s">
        <v>2</v>
      </c>
      <c r="E302">
        <f>(30-C302*100)*VLOOKUP($D302,Calc!$A$1:$C$6,3,FALSE)</f>
        <v>11.95</v>
      </c>
      <c r="F302" s="6">
        <f>VLOOKUP(D302,Calc!$A$1:$B$6,2,FALSE)</f>
        <v>1</v>
      </c>
      <c r="G302" s="10">
        <f t="shared" si="48"/>
        <v>6.1100000000000002E-2</v>
      </c>
      <c r="H302" s="9">
        <f t="shared" si="49"/>
        <v>6.3E-5</v>
      </c>
      <c r="I302" s="10">
        <f t="shared" si="50"/>
        <v>6.1106300000000002E-2</v>
      </c>
      <c r="J302" s="10">
        <f t="shared" si="51"/>
        <v>6.1106300000000002E-2</v>
      </c>
      <c r="K302" s="10" t="str">
        <f t="shared" si="52"/>
        <v/>
      </c>
      <c r="L302" s="9">
        <f t="shared" si="53"/>
        <v>0.93889369999999994</v>
      </c>
      <c r="M302" s="9">
        <f t="shared" si="54"/>
        <v>0.93889369999999994</v>
      </c>
      <c r="N302" s="9" t="str">
        <f t="shared" si="55"/>
        <v/>
      </c>
      <c r="O302" s="4" t="s">
        <v>755</v>
      </c>
      <c r="P302" s="1" t="s">
        <v>1665</v>
      </c>
      <c r="Q302" s="7"/>
      <c r="R302" s="7" t="s">
        <v>803</v>
      </c>
      <c r="S302" s="8" t="s">
        <v>804</v>
      </c>
      <c r="T302" s="7"/>
      <c r="U302" t="str">
        <f t="shared" si="56"/>
        <v/>
      </c>
      <c r="V302" t="str">
        <f t="shared" si="57"/>
        <v/>
      </c>
      <c r="W302" t="str">
        <f t="shared" si="58"/>
        <v/>
      </c>
      <c r="X302" t="str">
        <f t="shared" si="59"/>
        <v/>
      </c>
      <c r="Y302" t="e">
        <f>VLOOKUP($A302,Runs!$G:$G,1,FALSE)</f>
        <v>#N/A</v>
      </c>
    </row>
    <row r="303" spans="1:25" ht="22.5" customHeight="1" x14ac:dyDescent="0.25">
      <c r="A303" s="2" t="s">
        <v>141</v>
      </c>
      <c r="B303" s="2" t="s">
        <v>142</v>
      </c>
      <c r="C303" s="3">
        <v>6.3E-2</v>
      </c>
      <c r="D303" s="6" t="s">
        <v>105</v>
      </c>
      <c r="E303">
        <f>(30-C303*100)*VLOOKUP($D303,Calc!$A$1:$C$6,3,FALSE)</f>
        <v>23.7</v>
      </c>
      <c r="F303" s="6">
        <f>VLOOKUP(D303,Calc!$A$1:$B$6,2,FALSE)</f>
        <v>2</v>
      </c>
      <c r="G303" s="10">
        <f t="shared" si="48"/>
        <v>6.3200000000000006E-2</v>
      </c>
      <c r="H303" s="9">
        <f t="shared" si="49"/>
        <v>6.7000000000000002E-5</v>
      </c>
      <c r="I303" s="10">
        <f t="shared" si="50"/>
        <v>6.3206700000000005E-2</v>
      </c>
      <c r="J303" s="10">
        <f t="shared" si="51"/>
        <v>6.3206700000000005E-2</v>
      </c>
      <c r="K303" s="10" t="str">
        <f t="shared" si="52"/>
        <v/>
      </c>
      <c r="L303" s="9">
        <f t="shared" si="53"/>
        <v>1.9367932999999999</v>
      </c>
      <c r="M303" s="9">
        <f t="shared" si="54"/>
        <v>1.9367932999999999</v>
      </c>
      <c r="N303" s="9" t="str">
        <f t="shared" si="55"/>
        <v/>
      </c>
      <c r="O303" s="4" t="s">
        <v>755</v>
      </c>
      <c r="P303" s="1" t="s">
        <v>1675</v>
      </c>
      <c r="Q303" s="7"/>
      <c r="R303" s="7" t="s">
        <v>930</v>
      </c>
      <c r="S303" s="8" t="s">
        <v>931</v>
      </c>
      <c r="T303" s="7"/>
      <c r="U303" t="str">
        <f t="shared" si="56"/>
        <v/>
      </c>
      <c r="V303" t="str">
        <f t="shared" si="57"/>
        <v/>
      </c>
      <c r="W303" t="str">
        <f t="shared" si="58"/>
        <v/>
      </c>
      <c r="X303" t="str">
        <f t="shared" si="59"/>
        <v/>
      </c>
      <c r="Y303" t="e">
        <f>VLOOKUP($A303,Runs!$G:$G,1,FALSE)</f>
        <v>#N/A</v>
      </c>
    </row>
    <row r="304" spans="1:25" ht="22.5" customHeight="1" x14ac:dyDescent="0.25">
      <c r="A304" s="2" t="s">
        <v>133</v>
      </c>
      <c r="B304" s="2" t="s">
        <v>134</v>
      </c>
      <c r="C304" s="3">
        <v>6.3E-2</v>
      </c>
      <c r="D304" s="6" t="s">
        <v>105</v>
      </c>
      <c r="E304">
        <f>(30-C304*100)*VLOOKUP($D304,Calc!$A$1:$C$6,3,FALSE)</f>
        <v>23.7</v>
      </c>
      <c r="F304" s="6">
        <f>VLOOKUP(D304,Calc!$A$1:$B$6,2,FALSE)</f>
        <v>2</v>
      </c>
      <c r="G304" s="10">
        <f t="shared" si="48"/>
        <v>6.3200000000000006E-2</v>
      </c>
      <c r="H304" s="9">
        <f t="shared" si="49"/>
        <v>1.2999999999999999E-5</v>
      </c>
      <c r="I304" s="10">
        <f t="shared" si="50"/>
        <v>6.3201300000000002E-2</v>
      </c>
      <c r="J304" s="10">
        <f t="shared" si="51"/>
        <v>6.3201300000000002E-2</v>
      </c>
      <c r="K304" s="10" t="str">
        <f t="shared" si="52"/>
        <v/>
      </c>
      <c r="L304" s="9">
        <f t="shared" si="53"/>
        <v>1.9367987</v>
      </c>
      <c r="M304" s="9">
        <f t="shared" si="54"/>
        <v>1.9367987</v>
      </c>
      <c r="N304" s="9" t="str">
        <f t="shared" si="55"/>
        <v/>
      </c>
      <c r="O304" s="4" t="s">
        <v>755</v>
      </c>
      <c r="Q304" s="7" t="s">
        <v>866</v>
      </c>
      <c r="R304" s="8" t="s">
        <v>921</v>
      </c>
      <c r="S304" s="7"/>
      <c r="T304" s="7" t="s">
        <v>770</v>
      </c>
      <c r="U304" t="str">
        <f t="shared" si="56"/>
        <v/>
      </c>
      <c r="V304" t="str">
        <f t="shared" si="57"/>
        <v/>
      </c>
      <c r="W304" t="str">
        <f t="shared" si="58"/>
        <v/>
      </c>
      <c r="X304" t="str">
        <f t="shared" si="59"/>
        <v/>
      </c>
      <c r="Y304" t="e">
        <f>VLOOKUP($A304,Runs!$G:$G,1,FALSE)</f>
        <v>#N/A</v>
      </c>
    </row>
    <row r="305" spans="1:25" ht="22.5" customHeight="1" x14ac:dyDescent="0.25">
      <c r="A305" s="2" t="s">
        <v>395</v>
      </c>
      <c r="B305" s="2" t="s">
        <v>396</v>
      </c>
      <c r="C305" s="3">
        <v>6.3E-2</v>
      </c>
      <c r="D305" s="6" t="s">
        <v>242</v>
      </c>
      <c r="E305">
        <f>(30-C305*100)*VLOOKUP($D305,Calc!$A$1:$C$6,3,FALSE)</f>
        <v>59.25</v>
      </c>
      <c r="F305" s="6">
        <f>VLOOKUP(D305,Calc!$A$1:$B$6,2,FALSE)</f>
        <v>3</v>
      </c>
      <c r="G305" s="10">
        <f t="shared" si="48"/>
        <v>6.3299999999999995E-2</v>
      </c>
      <c r="H305" s="9">
        <f t="shared" si="49"/>
        <v>4.3999999999999999E-5</v>
      </c>
      <c r="I305" s="10">
        <f t="shared" si="50"/>
        <v>6.3304399999999997E-2</v>
      </c>
      <c r="J305" s="10">
        <f t="shared" si="51"/>
        <v>6.3304399999999997E-2</v>
      </c>
      <c r="K305" s="10" t="str">
        <f t="shared" si="52"/>
        <v/>
      </c>
      <c r="L305" s="9">
        <f t="shared" si="53"/>
        <v>2.9366956000000002</v>
      </c>
      <c r="M305" s="9">
        <f t="shared" si="54"/>
        <v>2.9366956000000002</v>
      </c>
      <c r="N305" s="9" t="str">
        <f t="shared" si="55"/>
        <v/>
      </c>
      <c r="O305" s="4" t="s">
        <v>755</v>
      </c>
      <c r="P305" s="1" t="s">
        <v>764</v>
      </c>
      <c r="Q305" s="7"/>
      <c r="R305" s="7" t="s">
        <v>1296</v>
      </c>
      <c r="S305" s="7"/>
      <c r="T305" s="7"/>
      <c r="U305" t="str">
        <f t="shared" si="56"/>
        <v/>
      </c>
      <c r="V305" t="str">
        <f t="shared" si="57"/>
        <v/>
      </c>
      <c r="W305" t="str">
        <f t="shared" si="58"/>
        <v/>
      </c>
      <c r="X305" t="str">
        <f t="shared" si="59"/>
        <v/>
      </c>
      <c r="Y305" t="e">
        <f>VLOOKUP($A305,Runs!$G:$G,1,FALSE)</f>
        <v>#N/A</v>
      </c>
    </row>
    <row r="306" spans="1:25" ht="22.5" customHeight="1" x14ac:dyDescent="0.25">
      <c r="A306" s="2" t="s">
        <v>40</v>
      </c>
      <c r="B306" s="2" t="s">
        <v>41</v>
      </c>
      <c r="C306" s="3">
        <v>6.3E-2</v>
      </c>
      <c r="D306" s="6" t="s">
        <v>2</v>
      </c>
      <c r="E306">
        <f>(30-C306*100)*VLOOKUP($D306,Calc!$A$1:$C$6,3,FALSE)</f>
        <v>11.85</v>
      </c>
      <c r="F306" s="6">
        <f>VLOOKUP(D306,Calc!$A$1:$B$6,2,FALSE)</f>
        <v>1</v>
      </c>
      <c r="G306" s="10">
        <f t="shared" si="48"/>
        <v>6.3100000000000003E-2</v>
      </c>
      <c r="H306" s="9">
        <f t="shared" si="49"/>
        <v>3.8000000000000002E-5</v>
      </c>
      <c r="I306" s="10">
        <f t="shared" si="50"/>
        <v>6.3103800000000002E-2</v>
      </c>
      <c r="J306" s="10">
        <f t="shared" si="51"/>
        <v>6.3103800000000002E-2</v>
      </c>
      <c r="K306" s="10" t="str">
        <f t="shared" si="52"/>
        <v/>
      </c>
      <c r="L306" s="9">
        <f t="shared" si="53"/>
        <v>0.93689619999999996</v>
      </c>
      <c r="M306" s="9">
        <f t="shared" si="54"/>
        <v>0.93689619999999996</v>
      </c>
      <c r="N306" s="9" t="str">
        <f t="shared" si="55"/>
        <v/>
      </c>
      <c r="O306" s="4" t="s">
        <v>755</v>
      </c>
      <c r="P306" s="1" t="s">
        <v>1695</v>
      </c>
      <c r="Q306" s="7" t="s">
        <v>824</v>
      </c>
      <c r="R306" s="7" t="s">
        <v>825</v>
      </c>
      <c r="S306" s="8" t="s">
        <v>826</v>
      </c>
      <c r="T306" s="7"/>
      <c r="U306" t="str">
        <f t="shared" si="56"/>
        <v/>
      </c>
      <c r="V306" t="str">
        <f t="shared" si="57"/>
        <v/>
      </c>
      <c r="W306" t="str">
        <f t="shared" si="58"/>
        <v/>
      </c>
      <c r="X306" t="str">
        <f t="shared" si="59"/>
        <v/>
      </c>
      <c r="Y306" t="e">
        <f>VLOOKUP($A306,Runs!$G:$G,1,FALSE)</f>
        <v>#N/A</v>
      </c>
    </row>
    <row r="307" spans="1:25" ht="22.5" customHeight="1" x14ac:dyDescent="0.25">
      <c r="A307" s="2" t="s">
        <v>212</v>
      </c>
      <c r="B307" s="2" t="s">
        <v>213</v>
      </c>
      <c r="C307" s="3">
        <v>6.4000000000000001E-2</v>
      </c>
      <c r="D307" s="6" t="s">
        <v>105</v>
      </c>
      <c r="E307">
        <f>(30-C307*100)*VLOOKUP($D307,Calc!$A$1:$C$6,3,FALSE)</f>
        <v>23.6</v>
      </c>
      <c r="F307" s="6">
        <f>VLOOKUP(D307,Calc!$A$1:$B$6,2,FALSE)</f>
        <v>2</v>
      </c>
      <c r="G307" s="10">
        <f t="shared" si="48"/>
        <v>6.4200000000000007E-2</v>
      </c>
      <c r="H307" s="9">
        <f t="shared" si="49"/>
        <v>-2.1999999999999999E-5</v>
      </c>
      <c r="I307" s="10">
        <f t="shared" si="50"/>
        <v>6.4197800000000013E-2</v>
      </c>
      <c r="J307" s="10">
        <f t="shared" si="51"/>
        <v>6.4197800000000013E-2</v>
      </c>
      <c r="K307" s="10" t="str">
        <f t="shared" si="52"/>
        <v/>
      </c>
      <c r="L307" s="9">
        <f t="shared" si="53"/>
        <v>1.9358021999999999</v>
      </c>
      <c r="M307" s="9">
        <f t="shared" si="54"/>
        <v>1.9358021999999999</v>
      </c>
      <c r="N307" s="9" t="str">
        <f t="shared" si="55"/>
        <v/>
      </c>
      <c r="O307" s="4" t="s">
        <v>755</v>
      </c>
      <c r="P307" s="1" t="s">
        <v>1875</v>
      </c>
      <c r="Q307" s="7"/>
      <c r="R307" s="7" t="s">
        <v>1055</v>
      </c>
      <c r="S307" s="8" t="s">
        <v>1056</v>
      </c>
      <c r="T307" s="7"/>
      <c r="U307" t="str">
        <f t="shared" si="56"/>
        <v/>
      </c>
      <c r="V307" t="str">
        <f t="shared" si="57"/>
        <v/>
      </c>
      <c r="W307" t="str">
        <f t="shared" si="58"/>
        <v/>
      </c>
      <c r="X307" t="str">
        <f t="shared" si="59"/>
        <v/>
      </c>
      <c r="Y307" t="str">
        <f>VLOOKUP($A307,Runs!$G:$G,1,FALSE)</f>
        <v>A Fine Goosestep</v>
      </c>
    </row>
    <row r="308" spans="1:25" ht="22.5" customHeight="1" x14ac:dyDescent="0.25">
      <c r="A308" s="2" t="s">
        <v>323</v>
      </c>
      <c r="B308" s="2" t="s">
        <v>324</v>
      </c>
      <c r="C308" s="3">
        <v>6.4000000000000001E-2</v>
      </c>
      <c r="D308" s="6" t="s">
        <v>242</v>
      </c>
      <c r="E308">
        <f>(30-C308*100)*VLOOKUP($D308,Calc!$A$1:$C$6,3,FALSE)</f>
        <v>59</v>
      </c>
      <c r="F308" s="6">
        <f>VLOOKUP(D308,Calc!$A$1:$B$6,2,FALSE)</f>
        <v>3</v>
      </c>
      <c r="G308" s="10">
        <f t="shared" si="48"/>
        <v>6.4299999999999996E-2</v>
      </c>
      <c r="H308" s="9">
        <f t="shared" si="49"/>
        <v>6.0999999999999999E-5</v>
      </c>
      <c r="I308" s="10">
        <f t="shared" si="50"/>
        <v>6.4306099999999991E-2</v>
      </c>
      <c r="J308" s="10">
        <f t="shared" si="51"/>
        <v>6.4306099999999991E-2</v>
      </c>
      <c r="K308" s="10" t="str">
        <f t="shared" si="52"/>
        <v/>
      </c>
      <c r="L308" s="9">
        <f t="shared" si="53"/>
        <v>2.9356939</v>
      </c>
      <c r="M308" s="9">
        <f t="shared" si="54"/>
        <v>2.9356939</v>
      </c>
      <c r="N308" s="9" t="str">
        <f t="shared" si="55"/>
        <v/>
      </c>
      <c r="O308" s="4" t="s">
        <v>755</v>
      </c>
      <c r="P308" s="1" t="s">
        <v>1676</v>
      </c>
      <c r="Q308" s="7" t="s">
        <v>881</v>
      </c>
      <c r="R308" s="7" t="s">
        <v>1166</v>
      </c>
      <c r="S308" s="8" t="s">
        <v>1167</v>
      </c>
      <c r="T308" s="7"/>
      <c r="U308" t="str">
        <f t="shared" si="56"/>
        <v/>
      </c>
      <c r="V308" t="str">
        <f t="shared" si="57"/>
        <v/>
      </c>
      <c r="W308" t="str">
        <f t="shared" si="58"/>
        <v/>
      </c>
      <c r="X308" t="str">
        <f t="shared" si="59"/>
        <v/>
      </c>
      <c r="Y308" t="e">
        <f>VLOOKUP($A308,Runs!$G:$G,1,FALSE)</f>
        <v>#N/A</v>
      </c>
    </row>
    <row r="309" spans="1:25" ht="22.5" customHeight="1" x14ac:dyDescent="0.25">
      <c r="A309" s="2" t="s">
        <v>137</v>
      </c>
      <c r="B309" s="2" t="s">
        <v>138</v>
      </c>
      <c r="C309" s="3">
        <v>6.5000000000000002E-2</v>
      </c>
      <c r="D309" s="6" t="s">
        <v>105</v>
      </c>
      <c r="E309">
        <f>(30-C309*100)*VLOOKUP($D309,Calc!$A$1:$C$6,3,FALSE)</f>
        <v>23.5</v>
      </c>
      <c r="F309" s="6">
        <f>VLOOKUP(D309,Calc!$A$1:$B$6,2,FALSE)</f>
        <v>2</v>
      </c>
      <c r="G309" s="10">
        <f t="shared" si="48"/>
        <v>6.5200000000000008E-2</v>
      </c>
      <c r="H309" s="9">
        <f t="shared" si="49"/>
        <v>6.0000000000000002E-5</v>
      </c>
      <c r="I309" s="10">
        <f t="shared" si="50"/>
        <v>6.5206000000000014E-2</v>
      </c>
      <c r="J309" s="10">
        <f t="shared" si="51"/>
        <v>6.5206000000000014E-2</v>
      </c>
      <c r="K309" s="10" t="str">
        <f t="shared" si="52"/>
        <v/>
      </c>
      <c r="L309" s="9">
        <f t="shared" si="53"/>
        <v>1.9347939999999999</v>
      </c>
      <c r="M309" s="9">
        <f t="shared" si="54"/>
        <v>1.9347939999999999</v>
      </c>
      <c r="N309" s="9" t="str">
        <f t="shared" si="55"/>
        <v/>
      </c>
      <c r="O309" s="4" t="s">
        <v>755</v>
      </c>
      <c r="P309" s="1" t="s">
        <v>1675</v>
      </c>
      <c r="Q309" s="7" t="s">
        <v>924</v>
      </c>
      <c r="R309" s="7" t="s">
        <v>925</v>
      </c>
      <c r="S309" s="8" t="s">
        <v>926</v>
      </c>
      <c r="T309" s="7"/>
      <c r="U309" t="str">
        <f t="shared" si="56"/>
        <v/>
      </c>
      <c r="V309" t="str">
        <f t="shared" si="57"/>
        <v/>
      </c>
      <c r="W309" t="str">
        <f t="shared" si="58"/>
        <v/>
      </c>
      <c r="X309" t="str">
        <f t="shared" si="59"/>
        <v/>
      </c>
      <c r="Y309" t="e">
        <f>VLOOKUP($A309,Runs!$G:$G,1,FALSE)</f>
        <v>#N/A</v>
      </c>
    </row>
    <row r="310" spans="1:25" ht="22.5" customHeight="1" x14ac:dyDescent="0.25">
      <c r="A310" s="2" t="s">
        <v>250</v>
      </c>
      <c r="B310" s="2" t="s">
        <v>674</v>
      </c>
      <c r="C310" s="3">
        <v>6.5000000000000002E-2</v>
      </c>
      <c r="D310" s="6" t="s">
        <v>242</v>
      </c>
      <c r="E310">
        <f>(30-C310*100)*VLOOKUP($D310,Calc!$A$1:$C$6,3,FALSE)</f>
        <v>58.75</v>
      </c>
      <c r="F310" s="6">
        <f>VLOOKUP(D310,Calc!$A$1:$B$6,2,FALSE)</f>
        <v>3</v>
      </c>
      <c r="G310" s="10">
        <f t="shared" si="48"/>
        <v>6.5299999999999997E-2</v>
      </c>
      <c r="H310" s="9">
        <f t="shared" si="49"/>
        <v>3.6999999999999998E-5</v>
      </c>
      <c r="I310" s="10">
        <f t="shared" si="50"/>
        <v>6.5303699999999992E-2</v>
      </c>
      <c r="J310" s="10">
        <f t="shared" si="51"/>
        <v>6.5303699999999992E-2</v>
      </c>
      <c r="K310" s="10" t="str">
        <f t="shared" si="52"/>
        <v/>
      </c>
      <c r="L310" s="9">
        <f t="shared" si="53"/>
        <v>2.9346963000000001</v>
      </c>
      <c r="M310" s="9">
        <f t="shared" si="54"/>
        <v>2.9346963000000001</v>
      </c>
      <c r="N310" s="9" t="str">
        <f t="shared" si="55"/>
        <v/>
      </c>
      <c r="O310" s="4" t="s">
        <v>755</v>
      </c>
      <c r="P310" s="1" t="s">
        <v>1687</v>
      </c>
      <c r="Q310" s="7" t="s">
        <v>937</v>
      </c>
      <c r="R310" s="7" t="s">
        <v>938</v>
      </c>
      <c r="S310" s="8" t="s">
        <v>939</v>
      </c>
      <c r="T310" s="7"/>
      <c r="U310" t="str">
        <f t="shared" si="56"/>
        <v/>
      </c>
      <c r="V310" t="str">
        <f t="shared" si="57"/>
        <v/>
      </c>
      <c r="W310" t="str">
        <f t="shared" si="58"/>
        <v/>
      </c>
      <c r="X310" t="str">
        <f t="shared" si="59"/>
        <v/>
      </c>
      <c r="Y310" t="e">
        <f>VLOOKUP($A310,Runs!$G:$G,1,FALSE)</f>
        <v>#N/A</v>
      </c>
    </row>
    <row r="311" spans="1:25" ht="22.5" customHeight="1" x14ac:dyDescent="0.25">
      <c r="A311" s="2" t="s">
        <v>108</v>
      </c>
      <c r="B311" s="2" t="s">
        <v>109</v>
      </c>
      <c r="C311" s="3">
        <v>6.6000000000000003E-2</v>
      </c>
      <c r="D311" s="6" t="s">
        <v>105</v>
      </c>
      <c r="E311">
        <f>(30-C311*100)*VLOOKUP($D311,Calc!$A$1:$C$6,3,FALSE)</f>
        <v>23.4</v>
      </c>
      <c r="F311" s="6">
        <f>VLOOKUP(D311,Calc!$A$1:$B$6,2,FALSE)</f>
        <v>2</v>
      </c>
      <c r="G311" s="10">
        <f t="shared" si="48"/>
        <v>6.6200000000000009E-2</v>
      </c>
      <c r="H311" s="9">
        <f t="shared" si="49"/>
        <v>-6.0000000000000002E-6</v>
      </c>
      <c r="I311" s="10">
        <f t="shared" si="50"/>
        <v>6.6199400000000005E-2</v>
      </c>
      <c r="J311" s="10">
        <f t="shared" si="51"/>
        <v>6.6199400000000005E-2</v>
      </c>
      <c r="K311" s="10" t="str">
        <f t="shared" si="52"/>
        <v/>
      </c>
      <c r="L311" s="9">
        <f t="shared" si="53"/>
        <v>1.9338006000000001</v>
      </c>
      <c r="M311" s="9">
        <f t="shared" si="54"/>
        <v>1.9338006000000001</v>
      </c>
      <c r="N311" s="9" t="str">
        <f t="shared" si="55"/>
        <v/>
      </c>
      <c r="O311" s="4" t="s">
        <v>755</v>
      </c>
      <c r="P311" s="1" t="s">
        <v>760</v>
      </c>
      <c r="Q311" s="7"/>
      <c r="R311" s="7" t="s">
        <v>869</v>
      </c>
      <c r="S311" s="8" t="s">
        <v>870</v>
      </c>
      <c r="T311" s="7"/>
      <c r="U311" t="str">
        <f t="shared" si="56"/>
        <v/>
      </c>
      <c r="V311" t="str">
        <f t="shared" si="57"/>
        <v/>
      </c>
      <c r="W311" t="str">
        <f t="shared" si="58"/>
        <v/>
      </c>
      <c r="X311" t="str">
        <f t="shared" si="59"/>
        <v/>
      </c>
      <c r="Y311" t="e">
        <f>VLOOKUP($A311,Runs!$G:$G,1,FALSE)</f>
        <v>#N/A</v>
      </c>
    </row>
    <row r="312" spans="1:25" ht="22.5" customHeight="1" x14ac:dyDescent="0.25">
      <c r="A312" s="2" t="s">
        <v>223</v>
      </c>
      <c r="B312" s="2" t="s">
        <v>224</v>
      </c>
      <c r="C312" s="3">
        <v>6.8000000000000005E-2</v>
      </c>
      <c r="D312" s="6" t="s">
        <v>105</v>
      </c>
      <c r="E312">
        <f>(30-C312*100)*VLOOKUP($D312,Calc!$A$1:$C$6,3,FALSE)</f>
        <v>23.2</v>
      </c>
      <c r="F312" s="6">
        <f>VLOOKUP(D312,Calc!$A$1:$B$6,2,FALSE)</f>
        <v>2</v>
      </c>
      <c r="G312" s="10">
        <f t="shared" si="48"/>
        <v>6.8200000000000011E-2</v>
      </c>
      <c r="H312" s="9">
        <f t="shared" si="49"/>
        <v>3.9999999999999998E-6</v>
      </c>
      <c r="I312" s="10">
        <f t="shared" si="50"/>
        <v>6.8200400000000008E-2</v>
      </c>
      <c r="J312" s="10">
        <f t="shared" si="51"/>
        <v>6.8200400000000008E-2</v>
      </c>
      <c r="K312" s="10" t="str">
        <f t="shared" si="52"/>
        <v/>
      </c>
      <c r="L312" s="9">
        <f t="shared" si="53"/>
        <v>1.9317996</v>
      </c>
      <c r="M312" s="9">
        <f t="shared" si="54"/>
        <v>1.9317996</v>
      </c>
      <c r="N312" s="9" t="str">
        <f t="shared" si="55"/>
        <v/>
      </c>
      <c r="O312" s="4" t="s">
        <v>755</v>
      </c>
      <c r="P312" s="1" t="s">
        <v>1675</v>
      </c>
      <c r="Q312" s="7" t="s">
        <v>1231</v>
      </c>
      <c r="R312" s="7" t="s">
        <v>1232</v>
      </c>
      <c r="S312" s="8" t="s">
        <v>1233</v>
      </c>
      <c r="T312" s="7"/>
      <c r="U312" t="str">
        <f t="shared" si="56"/>
        <v/>
      </c>
      <c r="V312" t="str">
        <f t="shared" si="57"/>
        <v/>
      </c>
      <c r="W312" t="str">
        <f t="shared" si="58"/>
        <v/>
      </c>
      <c r="X312" t="str">
        <f t="shared" si="59"/>
        <v/>
      </c>
      <c r="Y312" t="e">
        <f>VLOOKUP($A312,Runs!$G:$G,1,FALSE)</f>
        <v>#N/A</v>
      </c>
    </row>
    <row r="313" spans="1:25" ht="22.5" customHeight="1" x14ac:dyDescent="0.25">
      <c r="A313" s="2" t="s">
        <v>159</v>
      </c>
      <c r="B313" s="2" t="s">
        <v>160</v>
      </c>
      <c r="C313" s="3">
        <v>6.8000000000000005E-2</v>
      </c>
      <c r="D313" s="6" t="s">
        <v>105</v>
      </c>
      <c r="E313">
        <f>(30-C313*100)*VLOOKUP($D313,Calc!$A$1:$C$6,3,FALSE)</f>
        <v>23.2</v>
      </c>
      <c r="F313" s="6">
        <f>VLOOKUP(D313,Calc!$A$1:$B$6,2,FALSE)</f>
        <v>2</v>
      </c>
      <c r="G313" s="10">
        <f t="shared" si="48"/>
        <v>6.8200000000000011E-2</v>
      </c>
      <c r="H313" s="9">
        <f t="shared" si="49"/>
        <v>6.4999999999999994E-5</v>
      </c>
      <c r="I313" s="10">
        <f t="shared" si="50"/>
        <v>6.8206500000000017E-2</v>
      </c>
      <c r="J313" s="10">
        <f t="shared" si="51"/>
        <v>6.8206500000000017E-2</v>
      </c>
      <c r="K313" s="10" t="str">
        <f t="shared" si="52"/>
        <v/>
      </c>
      <c r="L313" s="9">
        <f t="shared" si="53"/>
        <v>1.9317934999999999</v>
      </c>
      <c r="M313" s="9">
        <f t="shared" si="54"/>
        <v>1.9317934999999999</v>
      </c>
      <c r="N313" s="9" t="str">
        <f t="shared" si="55"/>
        <v/>
      </c>
      <c r="O313" s="4" t="s">
        <v>755</v>
      </c>
      <c r="P313" s="1" t="s">
        <v>1695</v>
      </c>
      <c r="Q313" s="7"/>
      <c r="R313" s="7" t="s">
        <v>962</v>
      </c>
      <c r="S313" s="8" t="s">
        <v>963</v>
      </c>
      <c r="T313" s="7"/>
      <c r="U313" t="str">
        <f t="shared" si="56"/>
        <v/>
      </c>
      <c r="V313" t="str">
        <f t="shared" si="57"/>
        <v/>
      </c>
      <c r="W313" t="str">
        <f t="shared" si="58"/>
        <v/>
      </c>
      <c r="X313" t="str">
        <f t="shared" si="59"/>
        <v/>
      </c>
      <c r="Y313" t="e">
        <f>VLOOKUP($A313,Runs!$G:$G,1,FALSE)</f>
        <v>#N/A</v>
      </c>
    </row>
    <row r="314" spans="1:25" ht="22.5" customHeight="1" x14ac:dyDescent="0.25">
      <c r="A314" s="2" t="s">
        <v>175</v>
      </c>
      <c r="B314" s="2" t="s">
        <v>706</v>
      </c>
      <c r="C314" s="3">
        <v>6.9000000000000006E-2</v>
      </c>
      <c r="D314" s="6" t="s">
        <v>105</v>
      </c>
      <c r="E314">
        <f>(30-C314*100)*VLOOKUP($D314,Calc!$A$1:$C$6,3,FALSE)</f>
        <v>23.1</v>
      </c>
      <c r="F314" s="6">
        <f>VLOOKUP(D314,Calc!$A$1:$B$6,2,FALSE)</f>
        <v>2</v>
      </c>
      <c r="G314" s="10">
        <f t="shared" si="48"/>
        <v>6.9200000000000012E-2</v>
      </c>
      <c r="H314" s="9">
        <f t="shared" si="49"/>
        <v>4.0000000000000003E-5</v>
      </c>
      <c r="I314" s="10">
        <f t="shared" si="50"/>
        <v>6.9204000000000016E-2</v>
      </c>
      <c r="J314" s="10">
        <f t="shared" si="51"/>
        <v>6.9204000000000016E-2</v>
      </c>
      <c r="K314" s="10" t="str">
        <f t="shared" si="52"/>
        <v/>
      </c>
      <c r="L314" s="9">
        <f t="shared" si="53"/>
        <v>1.930796</v>
      </c>
      <c r="M314" s="9">
        <f t="shared" si="54"/>
        <v>1.930796</v>
      </c>
      <c r="N314" s="9" t="str">
        <f t="shared" si="55"/>
        <v/>
      </c>
      <c r="O314" s="4" t="s">
        <v>755</v>
      </c>
      <c r="P314" s="1" t="s">
        <v>1684</v>
      </c>
      <c r="Q314" s="7" t="s">
        <v>983</v>
      </c>
      <c r="R314" s="8" t="s">
        <v>984</v>
      </c>
      <c r="S314" s="7"/>
      <c r="T314" s="7"/>
      <c r="U314" t="str">
        <f t="shared" si="56"/>
        <v/>
      </c>
      <c r="V314" t="str">
        <f t="shared" si="57"/>
        <v/>
      </c>
      <c r="W314" t="str">
        <f t="shared" si="58"/>
        <v/>
      </c>
      <c r="X314" t="str">
        <f t="shared" si="59"/>
        <v/>
      </c>
      <c r="Y314" t="e">
        <f>VLOOKUP($A314,Runs!$G:$G,1,FALSE)</f>
        <v>#N/A</v>
      </c>
    </row>
    <row r="315" spans="1:25" ht="22.5" customHeight="1" x14ac:dyDescent="0.25">
      <c r="A315" s="2" t="s">
        <v>163</v>
      </c>
      <c r="B315" s="2" t="s">
        <v>700</v>
      </c>
      <c r="C315" s="3">
        <v>6.9000000000000006E-2</v>
      </c>
      <c r="D315" s="6" t="s">
        <v>105</v>
      </c>
      <c r="E315">
        <f>(30-C315*100)*VLOOKUP($D315,Calc!$A$1:$C$6,3,FALSE)</f>
        <v>23.1</v>
      </c>
      <c r="F315" s="6">
        <f>VLOOKUP(D315,Calc!$A$1:$B$6,2,FALSE)</f>
        <v>2</v>
      </c>
      <c r="G315" s="10">
        <f t="shared" si="48"/>
        <v>6.9200000000000012E-2</v>
      </c>
      <c r="H315" s="9">
        <f t="shared" si="49"/>
        <v>1.11E-4</v>
      </c>
      <c r="I315" s="10">
        <f t="shared" si="50"/>
        <v>6.9211100000000012E-2</v>
      </c>
      <c r="J315" s="10">
        <f t="shared" si="51"/>
        <v>6.9211100000000012E-2</v>
      </c>
      <c r="K315" s="10" t="str">
        <f t="shared" si="52"/>
        <v/>
      </c>
      <c r="L315" s="9">
        <f t="shared" si="53"/>
        <v>1.9307889</v>
      </c>
      <c r="M315" s="9">
        <f t="shared" si="54"/>
        <v>1.9307889</v>
      </c>
      <c r="N315" s="9" t="str">
        <f t="shared" si="55"/>
        <v/>
      </c>
      <c r="O315" s="4" t="s">
        <v>755</v>
      </c>
      <c r="P315" s="1" t="s">
        <v>1693</v>
      </c>
      <c r="Q315" s="7" t="s">
        <v>866</v>
      </c>
      <c r="R315" s="7" t="s">
        <v>967</v>
      </c>
      <c r="S315" s="8" t="s">
        <v>968</v>
      </c>
      <c r="T315" s="7"/>
      <c r="U315" t="str">
        <f t="shared" si="56"/>
        <v/>
      </c>
      <c r="V315" t="str">
        <f t="shared" si="57"/>
        <v/>
      </c>
      <c r="W315" t="str">
        <f t="shared" si="58"/>
        <v/>
      </c>
      <c r="X315" t="str">
        <f t="shared" si="59"/>
        <v/>
      </c>
      <c r="Y315" t="e">
        <f>VLOOKUP($A315,Runs!$G:$G,1,FALSE)</f>
        <v>#N/A</v>
      </c>
    </row>
    <row r="316" spans="1:25" ht="22.5" customHeight="1" x14ac:dyDescent="0.25">
      <c r="A316" s="2" t="s">
        <v>262</v>
      </c>
      <c r="B316" s="2" t="s">
        <v>641</v>
      </c>
      <c r="C316" s="3">
        <v>6.9000000000000006E-2</v>
      </c>
      <c r="D316" s="6" t="s">
        <v>242</v>
      </c>
      <c r="E316">
        <f>(30-C316*100)*VLOOKUP($D316,Calc!$A$1:$C$6,3,FALSE)</f>
        <v>57.75</v>
      </c>
      <c r="F316" s="6">
        <f>VLOOKUP(D316,Calc!$A$1:$B$6,2,FALSE)</f>
        <v>3</v>
      </c>
      <c r="G316" s="10">
        <f t="shared" si="48"/>
        <v>6.93E-2</v>
      </c>
      <c r="H316" s="9">
        <f t="shared" si="49"/>
        <v>7.2000000000000002E-5</v>
      </c>
      <c r="I316" s="10">
        <f t="shared" si="50"/>
        <v>6.9307199999999999E-2</v>
      </c>
      <c r="J316" s="10">
        <f t="shared" si="51"/>
        <v>6.9307199999999999E-2</v>
      </c>
      <c r="K316" s="10" t="str">
        <f t="shared" si="52"/>
        <v/>
      </c>
      <c r="L316" s="9">
        <f t="shared" si="53"/>
        <v>2.9306928000000001</v>
      </c>
      <c r="M316" s="9">
        <f t="shared" si="54"/>
        <v>2.9306928000000001</v>
      </c>
      <c r="N316" s="9" t="str">
        <f t="shared" si="55"/>
        <v/>
      </c>
      <c r="O316" s="4" t="s">
        <v>755</v>
      </c>
      <c r="P316" s="1" t="s">
        <v>756</v>
      </c>
      <c r="Q316" s="7"/>
      <c r="R316" s="7" t="s">
        <v>1062</v>
      </c>
      <c r="S316" s="8" t="s">
        <v>1063</v>
      </c>
      <c r="T316" s="7"/>
      <c r="U316" t="str">
        <f t="shared" si="56"/>
        <v/>
      </c>
      <c r="V316" t="str">
        <f t="shared" si="57"/>
        <v/>
      </c>
      <c r="W316" t="str">
        <f t="shared" si="58"/>
        <v/>
      </c>
      <c r="X316" t="str">
        <f t="shared" si="59"/>
        <v/>
      </c>
      <c r="Y316" t="e">
        <f>VLOOKUP($A316,Runs!$G:$G,1,FALSE)</f>
        <v>#N/A</v>
      </c>
    </row>
    <row r="317" spans="1:25" ht="22.5" customHeight="1" x14ac:dyDescent="0.25">
      <c r="A317" s="2" t="s">
        <v>95</v>
      </c>
      <c r="B317" s="2" t="s">
        <v>96</v>
      </c>
      <c r="C317" s="3">
        <v>6.9000000000000006E-2</v>
      </c>
      <c r="D317" s="6" t="s">
        <v>2</v>
      </c>
      <c r="E317">
        <f>(30-C317*100)*VLOOKUP($D317,Calc!$A$1:$C$6,3,FALSE)</f>
        <v>11.55</v>
      </c>
      <c r="F317" s="6">
        <f>VLOOKUP(D317,Calc!$A$1:$B$6,2,FALSE)</f>
        <v>1</v>
      </c>
      <c r="G317" s="10">
        <f t="shared" si="48"/>
        <v>6.9100000000000009E-2</v>
      </c>
      <c r="H317" s="9">
        <f t="shared" si="49"/>
        <v>5.3000000000000001E-5</v>
      </c>
      <c r="I317" s="10">
        <f t="shared" si="50"/>
        <v>6.9105300000000008E-2</v>
      </c>
      <c r="J317" s="10">
        <f t="shared" si="51"/>
        <v>6.9105300000000008E-2</v>
      </c>
      <c r="K317" s="10" t="str">
        <f t="shared" si="52"/>
        <v/>
      </c>
      <c r="L317" s="9">
        <f t="shared" si="53"/>
        <v>0.93089469999999996</v>
      </c>
      <c r="M317" s="9">
        <f t="shared" si="54"/>
        <v>0.93089469999999996</v>
      </c>
      <c r="N317" s="9" t="str">
        <f t="shared" si="55"/>
        <v/>
      </c>
      <c r="O317" s="4" t="s">
        <v>755</v>
      </c>
      <c r="P317" s="1" t="s">
        <v>1675</v>
      </c>
      <c r="Q317" s="7"/>
      <c r="R317" s="7" t="s">
        <v>1052</v>
      </c>
      <c r="S317" s="8" t="s">
        <v>1053</v>
      </c>
      <c r="T317" s="7"/>
      <c r="U317" t="str">
        <f t="shared" si="56"/>
        <v/>
      </c>
      <c r="V317" t="str">
        <f t="shared" si="57"/>
        <v/>
      </c>
      <c r="W317" t="str">
        <f t="shared" si="58"/>
        <v/>
      </c>
      <c r="X317" t="str">
        <f t="shared" si="59"/>
        <v/>
      </c>
      <c r="Y317" t="e">
        <f>VLOOKUP($A317,Runs!$G:$G,1,FALSE)</f>
        <v>#N/A</v>
      </c>
    </row>
    <row r="318" spans="1:25" ht="22.5" customHeight="1" x14ac:dyDescent="0.25">
      <c r="A318" s="2" t="s">
        <v>49</v>
      </c>
      <c r="B318" s="2" t="s">
        <v>50</v>
      </c>
      <c r="C318" s="3">
        <v>7.0000000000000007E-2</v>
      </c>
      <c r="D318" s="6" t="s">
        <v>2</v>
      </c>
      <c r="E318">
        <f>(30-C318*100)*VLOOKUP($D318,Calc!$A$1:$C$6,3,FALSE)</f>
        <v>11.5</v>
      </c>
      <c r="F318" s="6">
        <f>VLOOKUP(D318,Calc!$A$1:$B$6,2,FALSE)</f>
        <v>1</v>
      </c>
      <c r="G318" s="10">
        <f t="shared" si="48"/>
        <v>7.010000000000001E-2</v>
      </c>
      <c r="H318" s="9">
        <f t="shared" si="49"/>
        <v>5.3999999999999998E-5</v>
      </c>
      <c r="I318" s="10">
        <f t="shared" si="50"/>
        <v>7.0105400000000012E-2</v>
      </c>
      <c r="J318" s="10">
        <f t="shared" si="51"/>
        <v>7.0105400000000012E-2</v>
      </c>
      <c r="K318" s="10" t="str">
        <f t="shared" si="52"/>
        <v/>
      </c>
      <c r="L318" s="9">
        <f t="shared" si="53"/>
        <v>0.92989460000000002</v>
      </c>
      <c r="M318" s="9">
        <f t="shared" si="54"/>
        <v>0.92989460000000002</v>
      </c>
      <c r="N318" s="9" t="str">
        <f t="shared" si="55"/>
        <v/>
      </c>
      <c r="O318" s="4" t="s">
        <v>755</v>
      </c>
      <c r="P318" s="1" t="s">
        <v>1667</v>
      </c>
      <c r="Q318" s="7"/>
      <c r="R318" s="7" t="s">
        <v>836</v>
      </c>
      <c r="S318" s="7" t="s">
        <v>837</v>
      </c>
      <c r="T318" s="7" t="s">
        <v>770</v>
      </c>
      <c r="U318" t="str">
        <f t="shared" si="56"/>
        <v/>
      </c>
      <c r="V318" t="str">
        <f t="shared" si="57"/>
        <v/>
      </c>
      <c r="W318" t="str">
        <f t="shared" si="58"/>
        <v/>
      </c>
      <c r="X318" t="str">
        <f t="shared" si="59"/>
        <v/>
      </c>
      <c r="Y318" t="e">
        <f>VLOOKUP($A318,Runs!$G:$G,1,FALSE)</f>
        <v>#N/A</v>
      </c>
    </row>
    <row r="319" spans="1:25" ht="22.5" customHeight="1" x14ac:dyDescent="0.25">
      <c r="A319" s="2" t="s">
        <v>5</v>
      </c>
      <c r="B319" s="2" t="s">
        <v>6</v>
      </c>
      <c r="C319" s="3">
        <v>7.0999999999999994E-2</v>
      </c>
      <c r="D319" s="6" t="s">
        <v>2</v>
      </c>
      <c r="E319">
        <f>(30-C319*100)*VLOOKUP($D319,Calc!$A$1:$C$6,3,FALSE)</f>
        <v>11.45</v>
      </c>
      <c r="F319" s="6">
        <f>VLOOKUP(D319,Calc!$A$1:$B$6,2,FALSE)</f>
        <v>1</v>
      </c>
      <c r="G319" s="10">
        <f t="shared" si="48"/>
        <v>7.1099999999999997E-2</v>
      </c>
      <c r="H319" s="9">
        <f t="shared" si="49"/>
        <v>9.9999999999999995E-7</v>
      </c>
      <c r="I319" s="10">
        <f t="shared" si="50"/>
        <v>7.1100099999999999E-2</v>
      </c>
      <c r="J319" s="10">
        <f t="shared" si="51"/>
        <v>7.1100099999999999E-2</v>
      </c>
      <c r="K319" s="10" t="str">
        <f t="shared" si="52"/>
        <v/>
      </c>
      <c r="L319" s="9">
        <f t="shared" si="53"/>
        <v>0.9288999</v>
      </c>
      <c r="M319" s="9">
        <f t="shared" si="54"/>
        <v>0.9288999</v>
      </c>
      <c r="N319" s="9" t="str">
        <f t="shared" si="55"/>
        <v/>
      </c>
      <c r="O319" s="4" t="s">
        <v>755</v>
      </c>
      <c r="P319" s="1" t="s">
        <v>1667</v>
      </c>
      <c r="Q319" s="7"/>
      <c r="R319" s="7" t="s">
        <v>773</v>
      </c>
      <c r="S319" s="7" t="s">
        <v>774</v>
      </c>
      <c r="T319" s="7" t="s">
        <v>775</v>
      </c>
      <c r="U319" t="str">
        <f t="shared" si="56"/>
        <v/>
      </c>
      <c r="V319" t="str">
        <f t="shared" si="57"/>
        <v/>
      </c>
      <c r="W319" t="str">
        <f t="shared" si="58"/>
        <v/>
      </c>
      <c r="X319" t="str">
        <f t="shared" si="59"/>
        <v/>
      </c>
      <c r="Y319" t="e">
        <f>VLOOKUP($A319,Runs!$G:$G,1,FALSE)</f>
        <v>#N/A</v>
      </c>
    </row>
    <row r="320" spans="1:25" ht="22.5" customHeight="1" x14ac:dyDescent="0.25">
      <c r="A320" s="2" t="s">
        <v>313</v>
      </c>
      <c r="B320" s="2" t="s">
        <v>694</v>
      </c>
      <c r="C320" s="3">
        <v>7.2999999999999995E-2</v>
      </c>
      <c r="D320" s="6" t="s">
        <v>242</v>
      </c>
      <c r="E320">
        <f>(30-C320*100)*VLOOKUP($D320,Calc!$A$1:$C$6,3,FALSE)</f>
        <v>56.75</v>
      </c>
      <c r="F320" s="6">
        <f>VLOOKUP(D320,Calc!$A$1:$B$6,2,FALSE)</f>
        <v>3</v>
      </c>
      <c r="G320" s="10">
        <f t="shared" si="48"/>
        <v>7.329999999999999E-2</v>
      </c>
      <c r="H320" s="9">
        <f t="shared" si="49"/>
        <v>5.7000000000000003E-5</v>
      </c>
      <c r="I320" s="10">
        <f t="shared" si="50"/>
        <v>7.3305699999999988E-2</v>
      </c>
      <c r="J320" s="10">
        <f t="shared" si="51"/>
        <v>7.3305699999999988E-2</v>
      </c>
      <c r="K320" s="10" t="str">
        <f t="shared" si="52"/>
        <v/>
      </c>
      <c r="L320" s="9">
        <f t="shared" si="53"/>
        <v>2.9266942999999999</v>
      </c>
      <c r="M320" s="9">
        <f t="shared" si="54"/>
        <v>2.9266942999999999</v>
      </c>
      <c r="N320" s="9" t="str">
        <f t="shared" si="55"/>
        <v/>
      </c>
      <c r="O320" s="4" t="s">
        <v>755</v>
      </c>
      <c r="Q320" s="7"/>
      <c r="R320" s="8" t="s">
        <v>1152</v>
      </c>
      <c r="S320" s="7"/>
      <c r="T320" s="7" t="s">
        <v>770</v>
      </c>
      <c r="U320" t="str">
        <f t="shared" si="56"/>
        <v/>
      </c>
      <c r="V320" t="str">
        <f t="shared" si="57"/>
        <v/>
      </c>
      <c r="W320" t="str">
        <f t="shared" si="58"/>
        <v/>
      </c>
      <c r="X320" t="str">
        <f t="shared" si="59"/>
        <v/>
      </c>
      <c r="Y320" t="e">
        <f>VLOOKUP($A320,Runs!$G:$G,1,FALSE)</f>
        <v>#N/A</v>
      </c>
    </row>
    <row r="321" spans="1:25" ht="22.5" customHeight="1" x14ac:dyDescent="0.25">
      <c r="A321" s="2" t="s">
        <v>85</v>
      </c>
      <c r="B321" s="2" t="s">
        <v>86</v>
      </c>
      <c r="C321" s="3">
        <v>7.2999999999999995E-2</v>
      </c>
      <c r="D321" s="6" t="s">
        <v>2</v>
      </c>
      <c r="E321">
        <f>(30-C321*100)*VLOOKUP($D321,Calc!$A$1:$C$6,3,FALSE)</f>
        <v>11.35</v>
      </c>
      <c r="F321" s="6">
        <f>VLOOKUP(D321,Calc!$A$1:$B$6,2,FALSE)</f>
        <v>1</v>
      </c>
      <c r="G321" s="10">
        <f t="shared" si="48"/>
        <v>7.3099999999999998E-2</v>
      </c>
      <c r="H321" s="9">
        <f t="shared" si="49"/>
        <v>6.0000000000000002E-6</v>
      </c>
      <c r="I321" s="10">
        <f t="shared" si="50"/>
        <v>7.3100600000000002E-2</v>
      </c>
      <c r="J321" s="10">
        <f t="shared" si="51"/>
        <v>7.3100600000000002E-2</v>
      </c>
      <c r="K321" s="10" t="str">
        <f t="shared" si="52"/>
        <v/>
      </c>
      <c r="L321" s="9">
        <f t="shared" si="53"/>
        <v>0.92689940000000004</v>
      </c>
      <c r="M321" s="9">
        <f t="shared" si="54"/>
        <v>0.92689940000000004</v>
      </c>
      <c r="N321" s="9" t="str">
        <f t="shared" si="55"/>
        <v/>
      </c>
      <c r="O321" s="4" t="s">
        <v>755</v>
      </c>
      <c r="P321" s="1" t="s">
        <v>756</v>
      </c>
      <c r="Q321" s="7"/>
      <c r="R321" s="7" t="s">
        <v>945</v>
      </c>
      <c r="S321" s="8" t="s">
        <v>946</v>
      </c>
      <c r="T321" s="7"/>
      <c r="U321" t="str">
        <f t="shared" si="56"/>
        <v/>
      </c>
      <c r="V321" t="str">
        <f t="shared" si="57"/>
        <v/>
      </c>
      <c r="W321" t="str">
        <f t="shared" si="58"/>
        <v/>
      </c>
      <c r="X321" t="str">
        <f t="shared" si="59"/>
        <v/>
      </c>
      <c r="Y321" t="e">
        <f>VLOOKUP($A321,Runs!$G:$G,1,FALSE)</f>
        <v>#N/A</v>
      </c>
    </row>
    <row r="322" spans="1:25" ht="22.5" customHeight="1" x14ac:dyDescent="0.25">
      <c r="A322" s="2" t="s">
        <v>271</v>
      </c>
      <c r="B322" s="2" t="s">
        <v>272</v>
      </c>
      <c r="C322" s="3">
        <v>7.4999999999999997E-2</v>
      </c>
      <c r="D322" s="6" t="s">
        <v>242</v>
      </c>
      <c r="E322">
        <f>(30-C322*100)*VLOOKUP($D322,Calc!$A$1:$C$6,3,FALSE)</f>
        <v>56.25</v>
      </c>
      <c r="F322" s="6">
        <f>VLOOKUP(D322,Calc!$A$1:$B$6,2,FALSE)</f>
        <v>3</v>
      </c>
      <c r="G322" s="10">
        <f t="shared" ref="G322:G374" si="60">C322+F322/10000</f>
        <v>7.5299999999999992E-2</v>
      </c>
      <c r="H322" s="9">
        <f t="shared" ref="H322:H374" si="61">( (CODE(UPPER(LEFT(A322,1)))-64)+(CODE(UPPER(RIGHT(LEFT(A322,2),1)))-64)+(CODE(UPPER(RIGHT(LEFT(A322,3),1)))-64)+(CODE(UPPER(RIGHT(LEFT(A322,4),1)))-64)+(CODE(UPPER(RIGHT(LEFT(A322,5),1)))-64)+(CODE(UPPER(RIGHT(LEFT(A322,6),1)))-64)+(CODE(UPPER(RIGHT(LEFT(A322,7),1)))-64)+(CODE(UPPER(RIGHT(LEFT(A322,8),1)))-64) )/1000000</f>
        <v>2.4000000000000001E-5</v>
      </c>
      <c r="I322" s="10">
        <f t="shared" ref="I322:I374" si="62">G322+H322/10</f>
        <v>7.5302399999999992E-2</v>
      </c>
      <c r="J322" s="10">
        <f t="shared" ref="J322:J374" si="63">IF($O322="","",I322)</f>
        <v>7.5302399999999992E-2</v>
      </c>
      <c r="K322" s="10" t="str">
        <f t="shared" ref="K322:K374" si="64">IF($O322="",I322,"")</f>
        <v/>
      </c>
      <c r="L322" s="9">
        <f t="shared" ref="L322:L374" si="65">F322-I322</f>
        <v>2.9246976</v>
      </c>
      <c r="M322" s="9">
        <f t="shared" ref="M322:M374" si="66">IF($O322="","",L322)</f>
        <v>2.9246976</v>
      </c>
      <c r="N322" s="9" t="str">
        <f t="shared" ref="N322:N374" si="67">IF($O322="",L322,"")</f>
        <v/>
      </c>
      <c r="O322" s="4" t="s">
        <v>755</v>
      </c>
      <c r="P322" s="1" t="s">
        <v>761</v>
      </c>
      <c r="Q322" s="7"/>
      <c r="R322" s="7" t="s">
        <v>1073</v>
      </c>
      <c r="S322" s="8" t="s">
        <v>1074</v>
      </c>
      <c r="T322" s="7"/>
      <c r="U322" t="str">
        <f t="shared" ref="U322:U374" si="68">IF($D322="E",K322,"")</f>
        <v/>
      </c>
      <c r="V322" t="str">
        <f t="shared" ref="V322:V374" si="69">IF($D322="M",K322,"")</f>
        <v/>
      </c>
      <c r="W322" t="str">
        <f t="shared" ref="W322:W374" si="70">IF($D322="H",K322,"")</f>
        <v/>
      </c>
      <c r="X322" t="str">
        <f t="shared" ref="X322:X374" si="71">IF($D322="VE",K322,"")</f>
        <v/>
      </c>
      <c r="Y322" t="e">
        <f>VLOOKUP($A322,Runs!$G:$G,1,FALSE)</f>
        <v>#N/A</v>
      </c>
    </row>
    <row r="323" spans="1:25" ht="22.5" customHeight="1" x14ac:dyDescent="0.25">
      <c r="A323" s="2" t="s">
        <v>172</v>
      </c>
      <c r="B323" s="2" t="s">
        <v>704</v>
      </c>
      <c r="C323" s="3">
        <v>7.5999999999999998E-2</v>
      </c>
      <c r="D323" s="6" t="s">
        <v>105</v>
      </c>
      <c r="E323">
        <f>(30-C323*100)*VLOOKUP($D323,Calc!$A$1:$C$6,3,FALSE)</f>
        <v>22.4</v>
      </c>
      <c r="F323" s="6">
        <f>VLOOKUP(D323,Calc!$A$1:$B$6,2,FALSE)</f>
        <v>2</v>
      </c>
      <c r="G323" s="10">
        <f t="shared" si="60"/>
        <v>7.6200000000000004E-2</v>
      </c>
      <c r="H323" s="9">
        <f t="shared" si="61"/>
        <v>3.1000000000000001E-5</v>
      </c>
      <c r="I323" s="10">
        <f t="shared" si="62"/>
        <v>7.620310000000001E-2</v>
      </c>
      <c r="J323" s="10">
        <f t="shared" si="63"/>
        <v>7.620310000000001E-2</v>
      </c>
      <c r="K323" s="10" t="str">
        <f t="shared" si="64"/>
        <v/>
      </c>
      <c r="L323" s="9">
        <f t="shared" si="65"/>
        <v>1.9237968999999999</v>
      </c>
      <c r="M323" s="9">
        <f t="shared" si="66"/>
        <v>1.9237968999999999</v>
      </c>
      <c r="N323" s="9" t="str">
        <f t="shared" si="67"/>
        <v/>
      </c>
      <c r="O323" s="4" t="s">
        <v>755</v>
      </c>
      <c r="P323" s="1" t="s">
        <v>1665</v>
      </c>
      <c r="Q323" s="7"/>
      <c r="R323" s="7" t="s">
        <v>979</v>
      </c>
      <c r="S323" s="8" t="s">
        <v>980</v>
      </c>
      <c r="T323" s="7"/>
      <c r="U323" t="str">
        <f t="shared" si="68"/>
        <v/>
      </c>
      <c r="V323" t="str">
        <f t="shared" si="69"/>
        <v/>
      </c>
      <c r="W323" t="str">
        <f t="shared" si="70"/>
        <v/>
      </c>
      <c r="X323" t="str">
        <f t="shared" si="71"/>
        <v/>
      </c>
      <c r="Y323" t="e">
        <f>VLOOKUP($A323,Runs!$G:$G,1,FALSE)</f>
        <v>#N/A</v>
      </c>
    </row>
    <row r="324" spans="1:25" ht="22.5" customHeight="1" x14ac:dyDescent="0.25">
      <c r="A324" s="2" t="s">
        <v>75</v>
      </c>
      <c r="B324" s="2" t="s">
        <v>76</v>
      </c>
      <c r="C324" s="3">
        <v>7.5999999999999998E-2</v>
      </c>
      <c r="D324" s="6" t="s">
        <v>2</v>
      </c>
      <c r="E324">
        <f>(30-C324*100)*VLOOKUP($D324,Calc!$A$1:$C$6,3,FALSE)</f>
        <v>11.2</v>
      </c>
      <c r="F324" s="6">
        <f>VLOOKUP(D324,Calc!$A$1:$B$6,2,FALSE)</f>
        <v>1</v>
      </c>
      <c r="G324" s="10">
        <f t="shared" si="60"/>
        <v>7.6100000000000001E-2</v>
      </c>
      <c r="H324" s="9">
        <f t="shared" si="61"/>
        <v>9.5000000000000005E-5</v>
      </c>
      <c r="I324" s="10">
        <f t="shared" si="62"/>
        <v>7.6109499999999997E-2</v>
      </c>
      <c r="J324" s="10">
        <f t="shared" si="63"/>
        <v>7.6109499999999997E-2</v>
      </c>
      <c r="K324" s="10" t="str">
        <f t="shared" si="64"/>
        <v/>
      </c>
      <c r="L324" s="9">
        <f t="shared" si="65"/>
        <v>0.92389049999999995</v>
      </c>
      <c r="M324" s="9">
        <f t="shared" si="66"/>
        <v>0.92389049999999995</v>
      </c>
      <c r="N324" s="9" t="str">
        <f t="shared" si="67"/>
        <v/>
      </c>
      <c r="O324" s="4" t="s">
        <v>755</v>
      </c>
      <c r="Q324" s="7"/>
      <c r="R324" s="7" t="s">
        <v>871</v>
      </c>
      <c r="S324" s="8" t="s">
        <v>872</v>
      </c>
      <c r="T324" s="7"/>
      <c r="U324" t="str">
        <f t="shared" si="68"/>
        <v/>
      </c>
      <c r="V324" t="str">
        <f t="shared" si="69"/>
        <v/>
      </c>
      <c r="W324" t="str">
        <f t="shared" si="70"/>
        <v/>
      </c>
      <c r="X324" t="str">
        <f t="shared" si="71"/>
        <v/>
      </c>
      <c r="Y324" t="e">
        <f>VLOOKUP($A324,Runs!$G:$G,1,FALSE)</f>
        <v>#N/A</v>
      </c>
    </row>
    <row r="325" spans="1:25" ht="22.5" customHeight="1" x14ac:dyDescent="0.25">
      <c r="A325" s="2" t="s">
        <v>227</v>
      </c>
      <c r="B325" s="2" t="s">
        <v>228</v>
      </c>
      <c r="C325" s="3">
        <v>7.6999999999999999E-2</v>
      </c>
      <c r="D325" s="6" t="s">
        <v>105</v>
      </c>
      <c r="E325">
        <f>(30-C325*100)*VLOOKUP($D325,Calc!$A$1:$C$6,3,FALSE)</f>
        <v>22.3</v>
      </c>
      <c r="F325" s="6">
        <f>VLOOKUP(D325,Calc!$A$1:$B$6,2,FALSE)</f>
        <v>2</v>
      </c>
      <c r="G325" s="10">
        <f t="shared" si="60"/>
        <v>7.7200000000000005E-2</v>
      </c>
      <c r="H325" s="9">
        <f t="shared" si="61"/>
        <v>7.7999999999999999E-5</v>
      </c>
      <c r="I325" s="10">
        <f t="shared" si="62"/>
        <v>7.7207800000000007E-2</v>
      </c>
      <c r="J325" s="10">
        <f t="shared" si="63"/>
        <v>7.7207800000000007E-2</v>
      </c>
      <c r="K325" s="10" t="str">
        <f t="shared" si="64"/>
        <v/>
      </c>
      <c r="L325" s="9">
        <f t="shared" si="65"/>
        <v>1.9227922</v>
      </c>
      <c r="M325" s="9">
        <f t="shared" si="66"/>
        <v>1.9227922</v>
      </c>
      <c r="N325" s="9" t="str">
        <f t="shared" si="67"/>
        <v/>
      </c>
      <c r="O325" s="4" t="s">
        <v>755</v>
      </c>
      <c r="P325" s="1" t="s">
        <v>1676</v>
      </c>
      <c r="Q325" s="7" t="s">
        <v>866</v>
      </c>
      <c r="R325" s="8" t="s">
        <v>1256</v>
      </c>
      <c r="S325" s="7"/>
      <c r="T325" s="7" t="s">
        <v>770</v>
      </c>
      <c r="U325" t="str">
        <f t="shared" si="68"/>
        <v/>
      </c>
      <c r="V325" t="str">
        <f t="shared" si="69"/>
        <v/>
      </c>
      <c r="W325" t="str">
        <f t="shared" si="70"/>
        <v/>
      </c>
      <c r="X325" t="str">
        <f t="shared" si="71"/>
        <v/>
      </c>
      <c r="Y325" t="e">
        <f>VLOOKUP($A325,Runs!$G:$G,1,FALSE)</f>
        <v>#N/A</v>
      </c>
    </row>
    <row r="326" spans="1:25" ht="22.5" customHeight="1" x14ac:dyDescent="0.25">
      <c r="A326" s="2" t="s">
        <v>42</v>
      </c>
      <c r="B326" s="2" t="s">
        <v>43</v>
      </c>
      <c r="C326" s="3">
        <v>7.6999999999999999E-2</v>
      </c>
      <c r="D326" s="6" t="s">
        <v>2</v>
      </c>
      <c r="E326">
        <f>(30-C326*100)*VLOOKUP($D326,Calc!$A$1:$C$6,3,FALSE)</f>
        <v>11.15</v>
      </c>
      <c r="F326" s="6">
        <f>VLOOKUP(D326,Calc!$A$1:$B$6,2,FALSE)</f>
        <v>1</v>
      </c>
      <c r="G326" s="10">
        <f t="shared" si="60"/>
        <v>7.7100000000000002E-2</v>
      </c>
      <c r="H326" s="9">
        <f t="shared" si="61"/>
        <v>1.2799999999999999E-4</v>
      </c>
      <c r="I326" s="10">
        <f t="shared" si="62"/>
        <v>7.7112799999999995E-2</v>
      </c>
      <c r="J326" s="10">
        <f t="shared" si="63"/>
        <v>7.7112799999999995E-2</v>
      </c>
      <c r="K326" s="10" t="str">
        <f t="shared" si="64"/>
        <v/>
      </c>
      <c r="L326" s="9">
        <f t="shared" si="65"/>
        <v>0.92288720000000002</v>
      </c>
      <c r="M326" s="9">
        <f t="shared" si="66"/>
        <v>0.92288720000000002</v>
      </c>
      <c r="N326" s="9" t="str">
        <f t="shared" si="67"/>
        <v/>
      </c>
      <c r="O326" s="4" t="s">
        <v>755</v>
      </c>
      <c r="P326" s="1" t="s">
        <v>1666</v>
      </c>
      <c r="Q326" s="7" t="s">
        <v>797</v>
      </c>
      <c r="R326" s="7" t="s">
        <v>827</v>
      </c>
      <c r="S326" s="8" t="s">
        <v>828</v>
      </c>
      <c r="T326" s="7"/>
      <c r="U326" t="str">
        <f t="shared" si="68"/>
        <v/>
      </c>
      <c r="V326" t="str">
        <f t="shared" si="69"/>
        <v/>
      </c>
      <c r="W326" t="str">
        <f t="shared" si="70"/>
        <v/>
      </c>
      <c r="X326" t="str">
        <f t="shared" si="71"/>
        <v/>
      </c>
      <c r="Y326" t="e">
        <f>VLOOKUP($A326,Runs!$G:$G,1,FALSE)</f>
        <v>#N/A</v>
      </c>
    </row>
    <row r="327" spans="1:25" ht="22.5" customHeight="1" x14ac:dyDescent="0.25">
      <c r="A327" s="2" t="s">
        <v>206</v>
      </c>
      <c r="B327" s="2" t="s">
        <v>207</v>
      </c>
      <c r="C327" s="3">
        <v>0.08</v>
      </c>
      <c r="D327" s="6" t="s">
        <v>105</v>
      </c>
      <c r="E327">
        <f>(30-C327*100)*VLOOKUP($D327,Calc!$A$1:$C$6,3,FALSE)</f>
        <v>22</v>
      </c>
      <c r="F327" s="6">
        <f>VLOOKUP(D327,Calc!$A$1:$B$6,2,FALSE)</f>
        <v>2</v>
      </c>
      <c r="G327" s="10">
        <f t="shared" si="60"/>
        <v>8.0200000000000007E-2</v>
      </c>
      <c r="H327" s="9">
        <f t="shared" si="61"/>
        <v>7.3999999999999996E-5</v>
      </c>
      <c r="I327" s="10">
        <f t="shared" si="62"/>
        <v>8.0207400000000012E-2</v>
      </c>
      <c r="J327" s="10">
        <f t="shared" si="63"/>
        <v>8.0207400000000012E-2</v>
      </c>
      <c r="K327" s="10" t="str">
        <f t="shared" si="64"/>
        <v/>
      </c>
      <c r="L327" s="9">
        <f t="shared" si="65"/>
        <v>1.9197926000000001</v>
      </c>
      <c r="M327" s="9">
        <f t="shared" si="66"/>
        <v>1.9197926000000001</v>
      </c>
      <c r="N327" s="9" t="str">
        <f t="shared" si="67"/>
        <v/>
      </c>
      <c r="O327" s="4" t="s">
        <v>755</v>
      </c>
      <c r="P327" s="1" t="s">
        <v>757</v>
      </c>
      <c r="Q327" s="7"/>
      <c r="R327" s="7" t="s">
        <v>1045</v>
      </c>
      <c r="S327" s="8" t="s">
        <v>1046</v>
      </c>
      <c r="T327" s="7"/>
      <c r="U327" t="str">
        <f t="shared" si="68"/>
        <v/>
      </c>
      <c r="V327" t="str">
        <f t="shared" si="69"/>
        <v/>
      </c>
      <c r="W327" t="str">
        <f t="shared" si="70"/>
        <v/>
      </c>
      <c r="X327" t="str">
        <f t="shared" si="71"/>
        <v/>
      </c>
      <c r="Y327" t="e">
        <f>VLOOKUP($A327,Runs!$G:$G,1,FALSE)</f>
        <v>#N/A</v>
      </c>
    </row>
    <row r="328" spans="1:25" ht="22.5" customHeight="1" x14ac:dyDescent="0.25">
      <c r="A328" s="2" t="s">
        <v>203</v>
      </c>
      <c r="B328" s="2" t="s">
        <v>746</v>
      </c>
      <c r="C328" s="3">
        <v>0.08</v>
      </c>
      <c r="D328" s="6" t="s">
        <v>105</v>
      </c>
      <c r="E328">
        <f>(30-C328*100)*VLOOKUP($D328,Calc!$A$1:$C$6,3,FALSE)</f>
        <v>22</v>
      </c>
      <c r="F328" s="6">
        <f>VLOOKUP(D328,Calc!$A$1:$B$6,2,FALSE)</f>
        <v>2</v>
      </c>
      <c r="G328" s="10">
        <f t="shared" si="60"/>
        <v>8.0200000000000007E-2</v>
      </c>
      <c r="H328" s="9">
        <f t="shared" si="61"/>
        <v>1.2E-5</v>
      </c>
      <c r="I328" s="10">
        <f t="shared" si="62"/>
        <v>8.0201200000000014E-2</v>
      </c>
      <c r="J328" s="10">
        <f t="shared" si="63"/>
        <v>8.0201200000000014E-2</v>
      </c>
      <c r="K328" s="10" t="str">
        <f t="shared" si="64"/>
        <v/>
      </c>
      <c r="L328" s="9">
        <f t="shared" si="65"/>
        <v>1.9197987999999999</v>
      </c>
      <c r="M328" s="9">
        <f t="shared" si="66"/>
        <v>1.9197987999999999</v>
      </c>
      <c r="N328" s="9" t="str">
        <f t="shared" si="67"/>
        <v/>
      </c>
      <c r="O328" s="4" t="s">
        <v>755</v>
      </c>
      <c r="P328" s="1" t="s">
        <v>1667</v>
      </c>
      <c r="Q328" s="7" t="s">
        <v>1040</v>
      </c>
      <c r="R328" s="7" t="s">
        <v>1041</v>
      </c>
      <c r="S328" s="8" t="s">
        <v>1042</v>
      </c>
      <c r="T328" s="7"/>
      <c r="U328" t="str">
        <f t="shared" si="68"/>
        <v/>
      </c>
      <c r="V328" t="str">
        <f t="shared" si="69"/>
        <v/>
      </c>
      <c r="W328" t="str">
        <f t="shared" si="70"/>
        <v/>
      </c>
      <c r="X328" t="str">
        <f t="shared" si="71"/>
        <v/>
      </c>
      <c r="Y328" t="e">
        <f>VLOOKUP($A328,Runs!$G:$G,1,FALSE)</f>
        <v>#N/A</v>
      </c>
    </row>
    <row r="329" spans="1:25" ht="22.5" customHeight="1" x14ac:dyDescent="0.25">
      <c r="A329" s="2" t="s">
        <v>302</v>
      </c>
      <c r="B329" s="2" t="s">
        <v>303</v>
      </c>
      <c r="C329" s="3">
        <v>0.08</v>
      </c>
      <c r="D329" s="6" t="s">
        <v>242</v>
      </c>
      <c r="E329">
        <f>(30-C329*100)*VLOOKUP($D329,Calc!$A$1:$C$6,3,FALSE)</f>
        <v>55</v>
      </c>
      <c r="F329" s="6">
        <f>VLOOKUP(D329,Calc!$A$1:$B$6,2,FALSE)</f>
        <v>3</v>
      </c>
      <c r="G329" s="10">
        <f t="shared" si="60"/>
        <v>8.0299999999999996E-2</v>
      </c>
      <c r="H329" s="9">
        <f t="shared" si="61"/>
        <v>3.4E-5</v>
      </c>
      <c r="I329" s="10">
        <f t="shared" si="62"/>
        <v>8.0303399999999997E-2</v>
      </c>
      <c r="J329" s="10">
        <f t="shared" si="63"/>
        <v>8.0303399999999997E-2</v>
      </c>
      <c r="K329" s="10" t="str">
        <f t="shared" si="64"/>
        <v/>
      </c>
      <c r="L329" s="9">
        <f t="shared" si="65"/>
        <v>2.9196966</v>
      </c>
      <c r="M329" s="9">
        <f t="shared" si="66"/>
        <v>2.9196966</v>
      </c>
      <c r="N329" s="9" t="str">
        <f t="shared" si="67"/>
        <v/>
      </c>
      <c r="O329" s="4" t="s">
        <v>755</v>
      </c>
      <c r="P329" s="1" t="s">
        <v>1698</v>
      </c>
      <c r="Q329" s="7"/>
      <c r="R329" s="7" t="s">
        <v>1129</v>
      </c>
      <c r="S329" s="8" t="s">
        <v>1130</v>
      </c>
      <c r="T329" s="7"/>
      <c r="U329" t="str">
        <f t="shared" si="68"/>
        <v/>
      </c>
      <c r="V329" t="str">
        <f t="shared" si="69"/>
        <v/>
      </c>
      <c r="W329" t="str">
        <f t="shared" si="70"/>
        <v/>
      </c>
      <c r="X329" t="str">
        <f t="shared" si="71"/>
        <v/>
      </c>
      <c r="Y329" t="e">
        <f>VLOOKUP($A329,Runs!$G:$G,1,FALSE)</f>
        <v>#N/A</v>
      </c>
    </row>
    <row r="330" spans="1:25" ht="22.5" customHeight="1" x14ac:dyDescent="0.25">
      <c r="A330" s="2" t="s">
        <v>135</v>
      </c>
      <c r="B330" s="2" t="s">
        <v>136</v>
      </c>
      <c r="C330" s="3">
        <v>8.1000000000000003E-2</v>
      </c>
      <c r="D330" s="6" t="s">
        <v>105</v>
      </c>
      <c r="E330">
        <f>(30-C330*100)*VLOOKUP($D330,Calc!$A$1:$C$6,3,FALSE)</f>
        <v>21.9</v>
      </c>
      <c r="F330" s="6">
        <f>VLOOKUP(D330,Calc!$A$1:$B$6,2,FALSE)</f>
        <v>2</v>
      </c>
      <c r="G330" s="10">
        <f t="shared" si="60"/>
        <v>8.1200000000000008E-2</v>
      </c>
      <c r="H330" s="9">
        <f t="shared" si="61"/>
        <v>6.9999999999999994E-5</v>
      </c>
      <c r="I330" s="10">
        <f t="shared" si="62"/>
        <v>8.1207000000000001E-2</v>
      </c>
      <c r="J330" s="10">
        <f t="shared" si="63"/>
        <v>8.1207000000000001E-2</v>
      </c>
      <c r="K330" s="10" t="str">
        <f t="shared" si="64"/>
        <v/>
      </c>
      <c r="L330" s="9">
        <f t="shared" si="65"/>
        <v>1.918793</v>
      </c>
      <c r="M330" s="9">
        <f t="shared" si="66"/>
        <v>1.918793</v>
      </c>
      <c r="N330" s="9" t="str">
        <f t="shared" si="67"/>
        <v/>
      </c>
      <c r="O330" s="4" t="s">
        <v>755</v>
      </c>
      <c r="Q330" s="7"/>
      <c r="R330" s="7" t="s">
        <v>922</v>
      </c>
      <c r="S330" s="7" t="s">
        <v>923</v>
      </c>
      <c r="T330" s="7" t="s">
        <v>770</v>
      </c>
      <c r="U330" t="str">
        <f t="shared" si="68"/>
        <v/>
      </c>
      <c r="V330" t="str">
        <f t="shared" si="69"/>
        <v/>
      </c>
      <c r="W330" t="str">
        <f t="shared" si="70"/>
        <v/>
      </c>
      <c r="X330" t="str">
        <f t="shared" si="71"/>
        <v/>
      </c>
      <c r="Y330" t="e">
        <f>VLOOKUP($A330,Runs!$G:$G,1,FALSE)</f>
        <v>#N/A</v>
      </c>
    </row>
    <row r="331" spans="1:25" ht="22.5" customHeight="1" x14ac:dyDescent="0.25">
      <c r="A331" s="2" t="s">
        <v>219</v>
      </c>
      <c r="B331" s="2" t="s">
        <v>220</v>
      </c>
      <c r="C331" s="3">
        <v>8.2000000000000003E-2</v>
      </c>
      <c r="D331" s="6" t="s">
        <v>105</v>
      </c>
      <c r="E331">
        <f>(30-C331*100)*VLOOKUP($D331,Calc!$A$1:$C$6,3,FALSE)</f>
        <v>21.799999999999997</v>
      </c>
      <c r="F331" s="6">
        <f>VLOOKUP(D331,Calc!$A$1:$B$6,2,FALSE)</f>
        <v>2</v>
      </c>
      <c r="G331" s="10">
        <f t="shared" si="60"/>
        <v>8.2200000000000009E-2</v>
      </c>
      <c r="H331" s="9">
        <f t="shared" si="61"/>
        <v>5.3000000000000001E-5</v>
      </c>
      <c r="I331" s="10">
        <f t="shared" si="62"/>
        <v>8.2205300000000009E-2</v>
      </c>
      <c r="J331" s="10">
        <f t="shared" si="63"/>
        <v>8.2205300000000009E-2</v>
      </c>
      <c r="K331" s="10" t="str">
        <f t="shared" si="64"/>
        <v/>
      </c>
      <c r="L331" s="9">
        <f t="shared" si="65"/>
        <v>1.9177947</v>
      </c>
      <c r="M331" s="9">
        <f t="shared" si="66"/>
        <v>1.9177947</v>
      </c>
      <c r="N331" s="9" t="str">
        <f t="shared" si="67"/>
        <v/>
      </c>
      <c r="O331" s="4" t="s">
        <v>755</v>
      </c>
      <c r="P331" s="1" t="s">
        <v>764</v>
      </c>
      <c r="Q331" s="7"/>
      <c r="R331" s="7" t="s">
        <v>1184</v>
      </c>
      <c r="S331" s="8" t="s">
        <v>1185</v>
      </c>
      <c r="T331" s="7"/>
      <c r="U331" t="str">
        <f t="shared" si="68"/>
        <v/>
      </c>
      <c r="V331" t="str">
        <f t="shared" si="69"/>
        <v/>
      </c>
      <c r="W331" t="str">
        <f t="shared" si="70"/>
        <v/>
      </c>
      <c r="X331" t="str">
        <f t="shared" si="71"/>
        <v/>
      </c>
      <c r="Y331" t="e">
        <f>VLOOKUP($A331,Runs!$G:$G,1,FALSE)</f>
        <v>#N/A</v>
      </c>
    </row>
    <row r="332" spans="1:25" ht="22.5" customHeight="1" x14ac:dyDescent="0.25">
      <c r="A332" s="2" t="s">
        <v>57</v>
      </c>
      <c r="B332" s="2" t="s">
        <v>58</v>
      </c>
      <c r="C332" s="3">
        <v>8.3000000000000004E-2</v>
      </c>
      <c r="D332" s="6" t="s">
        <v>2</v>
      </c>
      <c r="E332">
        <f>(30-C332*100)*VLOOKUP($D332,Calc!$A$1:$C$6,3,FALSE)</f>
        <v>10.85</v>
      </c>
      <c r="F332" s="6">
        <f>VLOOKUP(D332,Calc!$A$1:$B$6,2,FALSE)</f>
        <v>1</v>
      </c>
      <c r="G332" s="10">
        <f t="shared" si="60"/>
        <v>8.3100000000000007E-2</v>
      </c>
      <c r="H332" s="9">
        <f t="shared" si="61"/>
        <v>5.3000000000000001E-5</v>
      </c>
      <c r="I332" s="10">
        <f t="shared" si="62"/>
        <v>8.3105300000000007E-2</v>
      </c>
      <c r="J332" s="10">
        <f t="shared" si="63"/>
        <v>8.3105300000000007E-2</v>
      </c>
      <c r="K332" s="10" t="str">
        <f t="shared" si="64"/>
        <v/>
      </c>
      <c r="L332" s="9">
        <f t="shared" si="65"/>
        <v>0.91689469999999995</v>
      </c>
      <c r="M332" s="9">
        <f t="shared" si="66"/>
        <v>0.91689469999999995</v>
      </c>
      <c r="N332" s="9" t="str">
        <f t="shared" si="67"/>
        <v/>
      </c>
      <c r="O332" s="4" t="s">
        <v>755</v>
      </c>
      <c r="P332" s="1" t="s">
        <v>1676</v>
      </c>
      <c r="Q332" s="7"/>
      <c r="R332" s="7" t="s">
        <v>844</v>
      </c>
      <c r="S332" s="8" t="s">
        <v>845</v>
      </c>
      <c r="T332" s="7"/>
      <c r="U332" t="str">
        <f t="shared" si="68"/>
        <v/>
      </c>
      <c r="V332" t="str">
        <f t="shared" si="69"/>
        <v/>
      </c>
      <c r="W332" t="str">
        <f t="shared" si="70"/>
        <v/>
      </c>
      <c r="X332" t="str">
        <f t="shared" si="71"/>
        <v/>
      </c>
      <c r="Y332" t="e">
        <f>VLOOKUP($A332,Runs!$G:$G,1,FALSE)</f>
        <v>#N/A</v>
      </c>
    </row>
    <row r="333" spans="1:25" ht="22.5" customHeight="1" x14ac:dyDescent="0.25">
      <c r="A333" s="2" t="s">
        <v>110</v>
      </c>
      <c r="B333" s="2" t="s">
        <v>111</v>
      </c>
      <c r="C333" s="3">
        <v>9.0999999999999998E-2</v>
      </c>
      <c r="D333" s="6" t="s">
        <v>105</v>
      </c>
      <c r="E333">
        <f>(30-C333*100)*VLOOKUP($D333,Calc!$A$1:$C$6,3,FALSE)</f>
        <v>20.9</v>
      </c>
      <c r="F333" s="6">
        <f>VLOOKUP(D333,Calc!$A$1:$B$6,2,FALSE)</f>
        <v>2</v>
      </c>
      <c r="G333" s="10">
        <f t="shared" si="60"/>
        <v>9.1200000000000003E-2</v>
      </c>
      <c r="H333" s="9">
        <f t="shared" si="61"/>
        <v>2.6999999999999999E-5</v>
      </c>
      <c r="I333" s="10">
        <f t="shared" si="62"/>
        <v>9.1202699999999998E-2</v>
      </c>
      <c r="J333" s="10">
        <f t="shared" si="63"/>
        <v>9.1202699999999998E-2</v>
      </c>
      <c r="K333" s="10" t="str">
        <f t="shared" si="64"/>
        <v/>
      </c>
      <c r="L333" s="9">
        <f t="shared" si="65"/>
        <v>1.9087973</v>
      </c>
      <c r="M333" s="9">
        <f t="shared" si="66"/>
        <v>1.9087973</v>
      </c>
      <c r="N333" s="9" t="str">
        <f t="shared" si="67"/>
        <v/>
      </c>
      <c r="O333" s="4" t="s">
        <v>755</v>
      </c>
      <c r="P333" s="1" t="s">
        <v>1706</v>
      </c>
      <c r="Q333" s="7" t="s">
        <v>877</v>
      </c>
      <c r="R333" s="7" t="s">
        <v>878</v>
      </c>
      <c r="S333" s="8" t="s">
        <v>879</v>
      </c>
      <c r="T333" s="7"/>
      <c r="U333" t="str">
        <f t="shared" si="68"/>
        <v/>
      </c>
      <c r="V333" t="str">
        <f t="shared" si="69"/>
        <v/>
      </c>
      <c r="W333" t="str">
        <f t="shared" si="70"/>
        <v/>
      </c>
      <c r="X333" t="str">
        <f t="shared" si="71"/>
        <v/>
      </c>
      <c r="Y333" t="str">
        <f>VLOOKUP($A333,Runs!$G:$G,1,FALSE)</f>
        <v>All belongs to Mother Russia</v>
      </c>
    </row>
    <row r="334" spans="1:25" ht="22.5" customHeight="1" x14ac:dyDescent="0.25">
      <c r="A334" s="2" t="s">
        <v>87</v>
      </c>
      <c r="B334" s="2" t="s">
        <v>88</v>
      </c>
      <c r="C334" s="3">
        <v>9.0999999999999998E-2</v>
      </c>
      <c r="D334" s="6" t="s">
        <v>2</v>
      </c>
      <c r="E334">
        <f>(30-C334*100)*VLOOKUP($D334,Calc!$A$1:$C$6,3,FALSE)</f>
        <v>10.45</v>
      </c>
      <c r="F334" s="6">
        <f>VLOOKUP(D334,Calc!$A$1:$B$6,2,FALSE)</f>
        <v>1</v>
      </c>
      <c r="G334" s="10">
        <f t="shared" si="60"/>
        <v>9.11E-2</v>
      </c>
      <c r="H334" s="9">
        <f t="shared" si="61"/>
        <v>1.9000000000000001E-5</v>
      </c>
      <c r="I334" s="10">
        <f t="shared" si="62"/>
        <v>9.11019E-2</v>
      </c>
      <c r="J334" s="10">
        <f t="shared" si="63"/>
        <v>9.11019E-2</v>
      </c>
      <c r="K334" s="10" t="str">
        <f t="shared" si="64"/>
        <v/>
      </c>
      <c r="L334" s="9">
        <f t="shared" si="65"/>
        <v>0.90889810000000004</v>
      </c>
      <c r="M334" s="9">
        <f t="shared" si="66"/>
        <v>0.90889810000000004</v>
      </c>
      <c r="N334" s="9" t="str">
        <f t="shared" si="67"/>
        <v/>
      </c>
      <c r="O334" s="4" t="s">
        <v>755</v>
      </c>
      <c r="P334" s="1" t="s">
        <v>756</v>
      </c>
      <c r="Q334" s="7"/>
      <c r="R334" s="7" t="s">
        <v>949</v>
      </c>
      <c r="S334" s="7"/>
      <c r="T334" s="7"/>
      <c r="U334" t="str">
        <f t="shared" si="68"/>
        <v/>
      </c>
      <c r="V334" t="str">
        <f t="shared" si="69"/>
        <v/>
      </c>
      <c r="W334" t="str">
        <f t="shared" si="70"/>
        <v/>
      </c>
      <c r="X334" t="str">
        <f t="shared" si="71"/>
        <v/>
      </c>
      <c r="Y334" t="e">
        <f>VLOOKUP($A334,Runs!$G:$G,1,FALSE)</f>
        <v>#N/A</v>
      </c>
    </row>
    <row r="335" spans="1:25" ht="22.5" customHeight="1" x14ac:dyDescent="0.25">
      <c r="A335" s="2" t="s">
        <v>113</v>
      </c>
      <c r="B335" s="2" t="s">
        <v>114</v>
      </c>
      <c r="C335" s="3">
        <v>9.1999999999999998E-2</v>
      </c>
      <c r="D335" s="6" t="s">
        <v>105</v>
      </c>
      <c r="E335">
        <f>(30-C335*100)*VLOOKUP($D335,Calc!$A$1:$C$6,3,FALSE)</f>
        <v>20.8</v>
      </c>
      <c r="F335" s="6">
        <f>VLOOKUP(D335,Calc!$A$1:$B$6,2,FALSE)</f>
        <v>2</v>
      </c>
      <c r="G335" s="10">
        <f t="shared" si="60"/>
        <v>9.2200000000000004E-2</v>
      </c>
      <c r="H335" s="9">
        <f t="shared" si="61"/>
        <v>6.3999999999999997E-5</v>
      </c>
      <c r="I335" s="10">
        <f t="shared" si="62"/>
        <v>9.2206400000000008E-2</v>
      </c>
      <c r="J335" s="10">
        <f t="shared" si="63"/>
        <v>9.2206400000000008E-2</v>
      </c>
      <c r="K335" s="10" t="str">
        <f t="shared" si="64"/>
        <v/>
      </c>
      <c r="L335" s="9">
        <f t="shared" si="65"/>
        <v>1.9077936</v>
      </c>
      <c r="M335" s="9">
        <f t="shared" si="66"/>
        <v>1.9077936</v>
      </c>
      <c r="N335" s="9" t="str">
        <f t="shared" si="67"/>
        <v/>
      </c>
      <c r="O335" s="4" t="s">
        <v>755</v>
      </c>
      <c r="P335" s="1" t="s">
        <v>1663</v>
      </c>
      <c r="Q335" s="7" t="s">
        <v>881</v>
      </c>
      <c r="R335" s="7" t="s">
        <v>882</v>
      </c>
      <c r="S335" s="8" t="s">
        <v>883</v>
      </c>
      <c r="T335" s="7"/>
      <c r="U335" t="str">
        <f t="shared" si="68"/>
        <v/>
      </c>
      <c r="V335" t="str">
        <f t="shared" si="69"/>
        <v/>
      </c>
      <c r="W335" t="str">
        <f t="shared" si="70"/>
        <v/>
      </c>
      <c r="X335" t="str">
        <f t="shared" si="71"/>
        <v/>
      </c>
      <c r="Y335" t="e">
        <f>VLOOKUP($A335,Runs!$G:$G,1,FALSE)</f>
        <v>#N/A</v>
      </c>
    </row>
    <row r="336" spans="1:25" ht="22.5" customHeight="1" x14ac:dyDescent="0.25">
      <c r="A336" s="2" t="s">
        <v>18</v>
      </c>
      <c r="B336" s="2" t="s">
        <v>19</v>
      </c>
      <c r="C336" s="3">
        <v>9.7000000000000003E-2</v>
      </c>
      <c r="D336" s="6" t="s">
        <v>2</v>
      </c>
      <c r="E336">
        <f>(30-C336*100)*VLOOKUP($D336,Calc!$A$1:$C$6,3,FALSE)</f>
        <v>10.149999999999999</v>
      </c>
      <c r="F336" s="6">
        <f>VLOOKUP(D336,Calc!$A$1:$B$6,2,FALSE)</f>
        <v>1</v>
      </c>
      <c r="G336" s="10">
        <f t="shared" si="60"/>
        <v>9.7100000000000006E-2</v>
      </c>
      <c r="H336" s="9">
        <f t="shared" si="61"/>
        <v>6.8999999999999997E-5</v>
      </c>
      <c r="I336" s="10">
        <f t="shared" si="62"/>
        <v>9.710690000000001E-2</v>
      </c>
      <c r="J336" s="10">
        <f t="shared" si="63"/>
        <v>9.710690000000001E-2</v>
      </c>
      <c r="K336" s="10" t="str">
        <f t="shared" si="64"/>
        <v/>
      </c>
      <c r="L336" s="9">
        <f t="shared" si="65"/>
        <v>0.9028931</v>
      </c>
      <c r="M336" s="9">
        <f t="shared" si="66"/>
        <v>0.9028931</v>
      </c>
      <c r="N336" s="9" t="str">
        <f t="shared" si="67"/>
        <v/>
      </c>
      <c r="O336" s="4" t="s">
        <v>755</v>
      </c>
      <c r="Q336" s="7"/>
      <c r="R336" s="8" t="s">
        <v>794</v>
      </c>
      <c r="S336" s="7"/>
      <c r="T336" s="7"/>
      <c r="U336" t="str">
        <f t="shared" si="68"/>
        <v/>
      </c>
      <c r="V336" t="str">
        <f t="shared" si="69"/>
        <v/>
      </c>
      <c r="W336" t="str">
        <f t="shared" si="70"/>
        <v/>
      </c>
      <c r="X336" t="str">
        <f t="shared" si="71"/>
        <v/>
      </c>
      <c r="Y336" t="e">
        <f>VLOOKUP($A336,Runs!$G:$G,1,FALSE)</f>
        <v>#N/A</v>
      </c>
    </row>
    <row r="337" spans="1:25" ht="22.5" customHeight="1" x14ac:dyDescent="0.25">
      <c r="A337" s="2" t="s">
        <v>65</v>
      </c>
      <c r="B337" s="2" t="s">
        <v>66</v>
      </c>
      <c r="C337" s="3">
        <v>0.1</v>
      </c>
      <c r="D337" s="6" t="s">
        <v>2</v>
      </c>
      <c r="E337">
        <f>(30-C337*100)*VLOOKUP($D337,Calc!$A$1:$C$6,3,FALSE)</f>
        <v>10</v>
      </c>
      <c r="F337" s="6">
        <f>VLOOKUP(D337,Calc!$A$1:$B$6,2,FALSE)</f>
        <v>1</v>
      </c>
      <c r="G337" s="10">
        <f t="shared" si="60"/>
        <v>0.10010000000000001</v>
      </c>
      <c r="H337" s="9">
        <f t="shared" si="61"/>
        <v>3.1999999999999999E-5</v>
      </c>
      <c r="I337" s="10">
        <f t="shared" si="62"/>
        <v>0.1001032</v>
      </c>
      <c r="J337" s="10">
        <f t="shared" si="63"/>
        <v>0.1001032</v>
      </c>
      <c r="K337" s="10" t="str">
        <f t="shared" si="64"/>
        <v/>
      </c>
      <c r="L337" s="9">
        <f t="shared" si="65"/>
        <v>0.89989680000000005</v>
      </c>
      <c r="M337" s="9">
        <f t="shared" si="66"/>
        <v>0.89989680000000005</v>
      </c>
      <c r="N337" s="9" t="str">
        <f t="shared" si="67"/>
        <v/>
      </c>
      <c r="O337" s="4" t="s">
        <v>755</v>
      </c>
      <c r="P337" s="1" t="s">
        <v>1675</v>
      </c>
      <c r="Q337" s="7"/>
      <c r="R337" s="8" t="s">
        <v>854</v>
      </c>
      <c r="S337" s="7"/>
      <c r="T337" s="7" t="s">
        <v>770</v>
      </c>
      <c r="U337" t="str">
        <f t="shared" si="68"/>
        <v/>
      </c>
      <c r="V337" t="str">
        <f t="shared" si="69"/>
        <v/>
      </c>
      <c r="W337" t="str">
        <f t="shared" si="70"/>
        <v/>
      </c>
      <c r="X337" t="str">
        <f t="shared" si="71"/>
        <v/>
      </c>
      <c r="Y337" t="e">
        <f>VLOOKUP($A337,Runs!$G:$G,1,FALSE)</f>
        <v>#N/A</v>
      </c>
    </row>
    <row r="338" spans="1:25" ht="22.5" customHeight="1" x14ac:dyDescent="0.25">
      <c r="A338" s="2" t="s">
        <v>315</v>
      </c>
      <c r="B338" s="2" t="s">
        <v>316</v>
      </c>
      <c r="C338" s="3">
        <v>0.104</v>
      </c>
      <c r="D338" s="6" t="s">
        <v>242</v>
      </c>
      <c r="E338">
        <f>(30-C338*100)*VLOOKUP($D338,Calc!$A$1:$C$6,3,FALSE)</f>
        <v>49</v>
      </c>
      <c r="F338" s="6">
        <f>VLOOKUP(D338,Calc!$A$1:$B$6,2,FALSE)</f>
        <v>3</v>
      </c>
      <c r="G338" s="10">
        <f t="shared" si="60"/>
        <v>0.10429999999999999</v>
      </c>
      <c r="H338" s="9">
        <f t="shared" si="61"/>
        <v>3.8999999999999999E-5</v>
      </c>
      <c r="I338" s="10">
        <f t="shared" si="62"/>
        <v>0.10430389999999999</v>
      </c>
      <c r="J338" s="10">
        <f t="shared" si="63"/>
        <v>0.10430389999999999</v>
      </c>
      <c r="K338" s="10" t="str">
        <f t="shared" si="64"/>
        <v/>
      </c>
      <c r="L338" s="9">
        <f t="shared" si="65"/>
        <v>2.8956960999999999</v>
      </c>
      <c r="M338" s="9">
        <f t="shared" si="66"/>
        <v>2.8956960999999999</v>
      </c>
      <c r="N338" s="9" t="str">
        <f t="shared" si="67"/>
        <v/>
      </c>
      <c r="O338" s="4" t="s">
        <v>755</v>
      </c>
      <c r="P338" s="1" t="s">
        <v>762</v>
      </c>
      <c r="Q338" s="7"/>
      <c r="R338" s="7" t="s">
        <v>1155</v>
      </c>
      <c r="S338" s="8" t="s">
        <v>1156</v>
      </c>
      <c r="T338" s="7"/>
      <c r="U338" t="str">
        <f t="shared" si="68"/>
        <v/>
      </c>
      <c r="V338" t="str">
        <f t="shared" si="69"/>
        <v/>
      </c>
      <c r="W338" t="str">
        <f t="shared" si="70"/>
        <v/>
      </c>
      <c r="X338" t="str">
        <f t="shared" si="71"/>
        <v/>
      </c>
      <c r="Y338" t="e">
        <f>VLOOKUP($A338,Runs!$G:$G,1,FALSE)</f>
        <v>#N/A</v>
      </c>
    </row>
    <row r="339" spans="1:25" ht="22.5" customHeight="1" x14ac:dyDescent="0.25">
      <c r="A339" s="2" t="s">
        <v>192</v>
      </c>
      <c r="B339" s="2" t="s">
        <v>193</v>
      </c>
      <c r="C339" s="3">
        <v>0.105</v>
      </c>
      <c r="D339" s="6" t="s">
        <v>105</v>
      </c>
      <c r="E339">
        <f>(30-C339*100)*VLOOKUP($D339,Calc!$A$1:$C$6,3,FALSE)</f>
        <v>19.5</v>
      </c>
      <c r="F339" s="6">
        <f>VLOOKUP(D339,Calc!$A$1:$B$6,2,FALSE)</f>
        <v>2</v>
      </c>
      <c r="G339" s="10">
        <f t="shared" si="60"/>
        <v>0.1052</v>
      </c>
      <c r="H339" s="9">
        <f t="shared" si="61"/>
        <v>4.0000000000000003E-5</v>
      </c>
      <c r="I339" s="10">
        <f t="shared" si="62"/>
        <v>0.10520400000000001</v>
      </c>
      <c r="J339" s="10">
        <f t="shared" si="63"/>
        <v>0.10520400000000001</v>
      </c>
      <c r="K339" s="10" t="str">
        <f t="shared" si="64"/>
        <v/>
      </c>
      <c r="L339" s="9">
        <f t="shared" si="65"/>
        <v>1.8947959999999999</v>
      </c>
      <c r="M339" s="9">
        <f t="shared" si="66"/>
        <v>1.8947959999999999</v>
      </c>
      <c r="N339" s="9" t="str">
        <f t="shared" si="67"/>
        <v/>
      </c>
      <c r="O339" s="4" t="s">
        <v>755</v>
      </c>
      <c r="P339" s="1" t="s">
        <v>1665</v>
      </c>
      <c r="Q339" s="7" t="s">
        <v>1018</v>
      </c>
      <c r="R339" s="7" t="s">
        <v>1019</v>
      </c>
      <c r="S339" s="8" t="s">
        <v>1020</v>
      </c>
      <c r="T339" s="7"/>
      <c r="U339" t="str">
        <f t="shared" si="68"/>
        <v/>
      </c>
      <c r="V339" t="str">
        <f t="shared" si="69"/>
        <v/>
      </c>
      <c r="W339" t="str">
        <f t="shared" si="70"/>
        <v/>
      </c>
      <c r="X339" t="str">
        <f t="shared" si="71"/>
        <v/>
      </c>
      <c r="Y339" t="e">
        <f>VLOOKUP($A339,Runs!$G:$G,1,FALSE)</f>
        <v>#N/A</v>
      </c>
    </row>
    <row r="340" spans="1:25" ht="22.5" customHeight="1" x14ac:dyDescent="0.25">
      <c r="A340" s="2" t="s">
        <v>30</v>
      </c>
      <c r="B340" s="2" t="s">
        <v>31</v>
      </c>
      <c r="C340" s="3">
        <v>0.106</v>
      </c>
      <c r="D340" s="6" t="s">
        <v>2</v>
      </c>
      <c r="E340">
        <f>(30-C340*100)*VLOOKUP($D340,Calc!$A$1:$C$6,3,FALSE)</f>
        <v>9.6999999999999993</v>
      </c>
      <c r="F340" s="6">
        <f>VLOOKUP(D340,Calc!$A$1:$B$6,2,FALSE)</f>
        <v>1</v>
      </c>
      <c r="G340" s="10">
        <f t="shared" si="60"/>
        <v>0.1061</v>
      </c>
      <c r="H340" s="9">
        <f t="shared" si="61"/>
        <v>3.3000000000000003E-5</v>
      </c>
      <c r="I340" s="10">
        <f t="shared" si="62"/>
        <v>0.1061033</v>
      </c>
      <c r="J340" s="10">
        <f t="shared" si="63"/>
        <v>0.1061033</v>
      </c>
      <c r="K340" s="10" t="str">
        <f t="shared" si="64"/>
        <v/>
      </c>
      <c r="L340" s="9">
        <f t="shared" si="65"/>
        <v>0.89389669999999999</v>
      </c>
      <c r="M340" s="9">
        <f t="shared" si="66"/>
        <v>0.89389669999999999</v>
      </c>
      <c r="N340" s="9" t="str">
        <f t="shared" si="67"/>
        <v/>
      </c>
      <c r="O340" s="4" t="s">
        <v>755</v>
      </c>
      <c r="P340" s="1" t="s">
        <v>1696</v>
      </c>
      <c r="Q340" s="7" t="s">
        <v>810</v>
      </c>
      <c r="R340" s="7" t="s">
        <v>811</v>
      </c>
      <c r="S340" s="8" t="s">
        <v>812</v>
      </c>
      <c r="T340" s="7"/>
      <c r="U340" t="str">
        <f t="shared" si="68"/>
        <v/>
      </c>
      <c r="V340" t="str">
        <f t="shared" si="69"/>
        <v/>
      </c>
      <c r="W340" t="str">
        <f t="shared" si="70"/>
        <v/>
      </c>
      <c r="X340" t="str">
        <f t="shared" si="71"/>
        <v/>
      </c>
      <c r="Y340" t="e">
        <f>VLOOKUP($A340,Runs!$G:$G,1,FALSE)</f>
        <v>#N/A</v>
      </c>
    </row>
    <row r="341" spans="1:25" ht="22.5" customHeight="1" x14ac:dyDescent="0.25">
      <c r="A341" s="2" t="s">
        <v>61</v>
      </c>
      <c r="B341" s="2" t="s">
        <v>62</v>
      </c>
      <c r="C341" s="3">
        <v>0.107</v>
      </c>
      <c r="D341" s="6" t="s">
        <v>2</v>
      </c>
      <c r="E341">
        <f>(30-C341*100)*VLOOKUP($D341,Calc!$A$1:$C$6,3,FALSE)</f>
        <v>9.65</v>
      </c>
      <c r="F341" s="6">
        <f>VLOOKUP(D341,Calc!$A$1:$B$6,2,FALSE)</f>
        <v>1</v>
      </c>
      <c r="G341" s="10">
        <f t="shared" si="60"/>
        <v>0.1071</v>
      </c>
      <c r="H341" s="9">
        <f t="shared" si="61"/>
        <v>2.0000000000000002E-5</v>
      </c>
      <c r="I341" s="10">
        <f t="shared" si="62"/>
        <v>0.107102</v>
      </c>
      <c r="J341" s="10">
        <f t="shared" si="63"/>
        <v>0.107102</v>
      </c>
      <c r="K341" s="10" t="str">
        <f t="shared" si="64"/>
        <v/>
      </c>
      <c r="L341" s="9">
        <f t="shared" si="65"/>
        <v>0.89289799999999997</v>
      </c>
      <c r="M341" s="9">
        <f t="shared" si="66"/>
        <v>0.89289799999999997</v>
      </c>
      <c r="N341" s="9" t="str">
        <f t="shared" si="67"/>
        <v/>
      </c>
      <c r="O341" s="4" t="s">
        <v>755</v>
      </c>
      <c r="P341" s="1" t="s">
        <v>1667</v>
      </c>
      <c r="Q341" s="7"/>
      <c r="R341" s="7" t="s">
        <v>849</v>
      </c>
      <c r="S341" s="8" t="s">
        <v>850</v>
      </c>
      <c r="T341" s="7"/>
      <c r="U341" t="str">
        <f t="shared" si="68"/>
        <v/>
      </c>
      <c r="V341" t="str">
        <f t="shared" si="69"/>
        <v/>
      </c>
      <c r="W341" t="str">
        <f t="shared" si="70"/>
        <v/>
      </c>
      <c r="X341" t="str">
        <f t="shared" si="71"/>
        <v/>
      </c>
      <c r="Y341" t="e">
        <f>VLOOKUP($A341,Runs!$G:$G,1,FALSE)</f>
        <v>#N/A</v>
      </c>
    </row>
    <row r="342" spans="1:25" ht="22.5" customHeight="1" x14ac:dyDescent="0.25">
      <c r="A342" s="2" t="s">
        <v>122</v>
      </c>
      <c r="B342" s="2" t="s">
        <v>123</v>
      </c>
      <c r="C342" s="3">
        <v>0.108</v>
      </c>
      <c r="D342" s="6" t="s">
        <v>105</v>
      </c>
      <c r="E342">
        <f>(30-C342*100)*VLOOKUP($D342,Calc!$A$1:$C$6,3,FALSE)</f>
        <v>19.2</v>
      </c>
      <c r="F342" s="6">
        <f>VLOOKUP(D342,Calc!$A$1:$B$6,2,FALSE)</f>
        <v>2</v>
      </c>
      <c r="G342" s="10">
        <f t="shared" si="60"/>
        <v>0.1082</v>
      </c>
      <c r="H342" s="9">
        <f t="shared" si="61"/>
        <v>5.1E-5</v>
      </c>
      <c r="I342" s="10">
        <f t="shared" si="62"/>
        <v>0.1082051</v>
      </c>
      <c r="J342" s="10">
        <f t="shared" si="63"/>
        <v>0.1082051</v>
      </c>
      <c r="K342" s="10" t="str">
        <f t="shared" si="64"/>
        <v/>
      </c>
      <c r="L342" s="9">
        <f t="shared" si="65"/>
        <v>1.8917949000000001</v>
      </c>
      <c r="M342" s="9">
        <f t="shared" si="66"/>
        <v>1.8917949000000001</v>
      </c>
      <c r="N342" s="9" t="str">
        <f t="shared" si="67"/>
        <v/>
      </c>
      <c r="O342" s="4" t="s">
        <v>755</v>
      </c>
      <c r="Q342" s="7" t="s">
        <v>866</v>
      </c>
      <c r="R342" s="7" t="s">
        <v>899</v>
      </c>
      <c r="S342" s="7" t="s">
        <v>900</v>
      </c>
      <c r="T342" s="7" t="s">
        <v>770</v>
      </c>
      <c r="U342" t="str">
        <f t="shared" si="68"/>
        <v/>
      </c>
      <c r="V342" t="str">
        <f t="shared" si="69"/>
        <v/>
      </c>
      <c r="W342" t="str">
        <f t="shared" si="70"/>
        <v/>
      </c>
      <c r="X342" t="str">
        <f t="shared" si="71"/>
        <v/>
      </c>
      <c r="Y342" t="e">
        <f>VLOOKUP($A342,Runs!$G:$G,1,FALSE)</f>
        <v>#N/A</v>
      </c>
    </row>
    <row r="343" spans="1:25" ht="22.5" customHeight="1" x14ac:dyDescent="0.25">
      <c r="A343" s="2" t="s">
        <v>194</v>
      </c>
      <c r="B343" s="2" t="s">
        <v>195</v>
      </c>
      <c r="C343" s="3">
        <v>0.109</v>
      </c>
      <c r="D343" s="6" t="s">
        <v>105</v>
      </c>
      <c r="E343">
        <f>(30-C343*100)*VLOOKUP($D343,Calc!$A$1:$C$6,3,FALSE)</f>
        <v>19.100000000000001</v>
      </c>
      <c r="F343" s="6">
        <f>VLOOKUP(D343,Calc!$A$1:$B$6,2,FALSE)</f>
        <v>2</v>
      </c>
      <c r="G343" s="10">
        <f t="shared" si="60"/>
        <v>0.10920000000000001</v>
      </c>
      <c r="H343" s="9">
        <f t="shared" si="61"/>
        <v>4.3000000000000002E-5</v>
      </c>
      <c r="I343" s="10">
        <f t="shared" si="62"/>
        <v>0.1092043</v>
      </c>
      <c r="J343" s="10">
        <f t="shared" si="63"/>
        <v>0.1092043</v>
      </c>
      <c r="K343" s="10" t="str">
        <f t="shared" si="64"/>
        <v/>
      </c>
      <c r="L343" s="9">
        <f t="shared" si="65"/>
        <v>1.8907957</v>
      </c>
      <c r="M343" s="9">
        <f t="shared" si="66"/>
        <v>1.8907957</v>
      </c>
      <c r="N343" s="9" t="str">
        <f t="shared" si="67"/>
        <v/>
      </c>
      <c r="O343" s="4" t="s">
        <v>755</v>
      </c>
      <c r="P343" s="1" t="s">
        <v>1663</v>
      </c>
      <c r="Q343" s="7"/>
      <c r="R343" s="8" t="s">
        <v>1021</v>
      </c>
      <c r="S343" s="7"/>
      <c r="T343" s="7"/>
      <c r="U343" t="str">
        <f t="shared" si="68"/>
        <v/>
      </c>
      <c r="V343" t="str">
        <f t="shared" si="69"/>
        <v/>
      </c>
      <c r="W343" t="str">
        <f t="shared" si="70"/>
        <v/>
      </c>
      <c r="X343" t="str">
        <f t="shared" si="71"/>
        <v/>
      </c>
      <c r="Y343" t="e">
        <f>VLOOKUP($A343,Runs!$G:$G,1,FALSE)</f>
        <v>#N/A</v>
      </c>
    </row>
    <row r="344" spans="1:25" ht="22.5" customHeight="1" x14ac:dyDescent="0.25">
      <c r="A344" s="2" t="s">
        <v>0</v>
      </c>
      <c r="B344" s="2" t="s">
        <v>1</v>
      </c>
      <c r="C344" s="3">
        <v>0.109</v>
      </c>
      <c r="D344" s="6" t="s">
        <v>2</v>
      </c>
      <c r="E344">
        <f>(30-C344*100)*VLOOKUP($D344,Calc!$A$1:$C$6,3,FALSE)</f>
        <v>9.5500000000000007</v>
      </c>
      <c r="F344" s="6">
        <f>VLOOKUP(D344,Calc!$A$1:$B$6,2,FALSE)</f>
        <v>1</v>
      </c>
      <c r="G344" s="10">
        <f t="shared" si="60"/>
        <v>0.1091</v>
      </c>
      <c r="H344" s="9">
        <f t="shared" si="61"/>
        <v>2.5999999999999998E-5</v>
      </c>
      <c r="I344" s="10">
        <f t="shared" si="62"/>
        <v>0.10910260000000001</v>
      </c>
      <c r="J344" s="10">
        <f t="shared" si="63"/>
        <v>0.10910260000000001</v>
      </c>
      <c r="K344" s="10" t="str">
        <f t="shared" si="64"/>
        <v/>
      </c>
      <c r="L344" s="9">
        <f t="shared" si="65"/>
        <v>0.89089739999999995</v>
      </c>
      <c r="M344" s="9">
        <f t="shared" si="66"/>
        <v>0.89089739999999995</v>
      </c>
      <c r="N344" s="9" t="str">
        <f t="shared" si="67"/>
        <v/>
      </c>
      <c r="O344" s="4" t="s">
        <v>755</v>
      </c>
      <c r="Q344" s="7"/>
      <c r="R344" s="7" t="s">
        <v>768</v>
      </c>
      <c r="S344" s="7" t="s">
        <v>769</v>
      </c>
      <c r="T344" s="7" t="s">
        <v>770</v>
      </c>
      <c r="U344" t="str">
        <f t="shared" si="68"/>
        <v/>
      </c>
      <c r="V344" t="str">
        <f t="shared" si="69"/>
        <v/>
      </c>
      <c r="W344" t="str">
        <f t="shared" si="70"/>
        <v/>
      </c>
      <c r="X344" t="str">
        <f t="shared" si="71"/>
        <v/>
      </c>
      <c r="Y344" t="e">
        <f>VLOOKUP($A344,Runs!$G:$G,1,FALSE)</f>
        <v>#N/A</v>
      </c>
    </row>
    <row r="345" spans="1:25" ht="22.5" customHeight="1" x14ac:dyDescent="0.25">
      <c r="A345" s="2" t="s">
        <v>81</v>
      </c>
      <c r="B345" s="2" t="s">
        <v>82</v>
      </c>
      <c r="C345" s="3">
        <v>0.112</v>
      </c>
      <c r="D345" s="6" t="s">
        <v>2</v>
      </c>
      <c r="E345">
        <f>(30-C345*100)*VLOOKUP($D345,Calc!$A$1:$C$6,3,FALSE)</f>
        <v>9.3999999999999986</v>
      </c>
      <c r="F345" s="6">
        <f>VLOOKUP(D345,Calc!$A$1:$B$6,2,FALSE)</f>
        <v>1</v>
      </c>
      <c r="G345" s="10">
        <f t="shared" si="60"/>
        <v>0.11210000000000001</v>
      </c>
      <c r="H345" s="9">
        <f t="shared" si="61"/>
        <v>1.4E-5</v>
      </c>
      <c r="I345" s="10">
        <f t="shared" si="62"/>
        <v>0.1121014</v>
      </c>
      <c r="J345" s="10">
        <f t="shared" si="63"/>
        <v>0.1121014</v>
      </c>
      <c r="K345" s="10" t="str">
        <f t="shared" si="64"/>
        <v/>
      </c>
      <c r="L345" s="9">
        <f t="shared" si="65"/>
        <v>0.88789859999999998</v>
      </c>
      <c r="M345" s="9">
        <f t="shared" si="66"/>
        <v>0.88789859999999998</v>
      </c>
      <c r="N345" s="9" t="str">
        <f t="shared" si="67"/>
        <v/>
      </c>
      <c r="O345" s="4" t="s">
        <v>755</v>
      </c>
      <c r="P345" s="1" t="s">
        <v>756</v>
      </c>
      <c r="Q345" s="7"/>
      <c r="R345" s="7" t="s">
        <v>909</v>
      </c>
      <c r="S345" s="8" t="s">
        <v>910</v>
      </c>
      <c r="T345" s="7"/>
      <c r="U345" t="str">
        <f t="shared" si="68"/>
        <v/>
      </c>
      <c r="V345" t="str">
        <f t="shared" si="69"/>
        <v/>
      </c>
      <c r="W345" t="str">
        <f t="shared" si="70"/>
        <v/>
      </c>
      <c r="X345" t="str">
        <f t="shared" si="71"/>
        <v/>
      </c>
      <c r="Y345" t="e">
        <f>VLOOKUP($A345,Runs!$G:$G,1,FALSE)</f>
        <v>#N/A</v>
      </c>
    </row>
    <row r="346" spans="1:25" ht="22.5" customHeight="1" x14ac:dyDescent="0.25">
      <c r="A346" s="2" t="s">
        <v>131</v>
      </c>
      <c r="B346" s="2" t="s">
        <v>132</v>
      </c>
      <c r="C346" s="3">
        <v>0.113</v>
      </c>
      <c r="D346" s="6" t="s">
        <v>105</v>
      </c>
      <c r="E346">
        <f>(30-C346*100)*VLOOKUP($D346,Calc!$A$1:$C$6,3,FALSE)</f>
        <v>18.7</v>
      </c>
      <c r="F346" s="6">
        <f>VLOOKUP(D346,Calc!$A$1:$B$6,2,FALSE)</f>
        <v>2</v>
      </c>
      <c r="G346" s="10">
        <f t="shared" si="60"/>
        <v>0.11320000000000001</v>
      </c>
      <c r="H346" s="9">
        <f t="shared" si="61"/>
        <v>6.3E-5</v>
      </c>
      <c r="I346" s="10">
        <f t="shared" si="62"/>
        <v>0.11320630000000001</v>
      </c>
      <c r="J346" s="10">
        <f t="shared" si="63"/>
        <v>0.11320630000000001</v>
      </c>
      <c r="K346" s="10" t="str">
        <f t="shared" si="64"/>
        <v/>
      </c>
      <c r="L346" s="9">
        <f t="shared" si="65"/>
        <v>1.8867936999999999</v>
      </c>
      <c r="M346" s="9">
        <f t="shared" si="66"/>
        <v>1.8867936999999999</v>
      </c>
      <c r="N346" s="9" t="str">
        <f t="shared" si="67"/>
        <v/>
      </c>
      <c r="O346" s="4" t="s">
        <v>755</v>
      </c>
      <c r="P346" s="1" t="s">
        <v>760</v>
      </c>
      <c r="Q346" s="7"/>
      <c r="R346" s="7" t="s">
        <v>132</v>
      </c>
      <c r="S346" s="8" t="s">
        <v>920</v>
      </c>
      <c r="T346" s="7"/>
      <c r="U346" t="str">
        <f t="shared" si="68"/>
        <v/>
      </c>
      <c r="V346" t="str">
        <f t="shared" si="69"/>
        <v/>
      </c>
      <c r="W346" t="str">
        <f t="shared" si="70"/>
        <v/>
      </c>
      <c r="X346" t="str">
        <f t="shared" si="71"/>
        <v/>
      </c>
      <c r="Y346" t="e">
        <f>VLOOKUP($A346,Runs!$G:$G,1,FALSE)</f>
        <v>#N/A</v>
      </c>
    </row>
    <row r="347" spans="1:25" ht="22.5" customHeight="1" x14ac:dyDescent="0.25">
      <c r="A347" s="2" t="s">
        <v>225</v>
      </c>
      <c r="B347" s="2" t="s">
        <v>226</v>
      </c>
      <c r="C347" s="3">
        <v>0.114</v>
      </c>
      <c r="D347" s="6" t="s">
        <v>105</v>
      </c>
      <c r="E347">
        <f>(30-C347*100)*VLOOKUP($D347,Calc!$A$1:$C$6,3,FALSE)</f>
        <v>18.600000000000001</v>
      </c>
      <c r="F347" s="6">
        <f>VLOOKUP(D347,Calc!$A$1:$B$6,2,FALSE)</f>
        <v>2</v>
      </c>
      <c r="G347" s="10">
        <f t="shared" si="60"/>
        <v>0.11420000000000001</v>
      </c>
      <c r="H347" s="9">
        <f t="shared" si="61"/>
        <v>6.0999999999999999E-5</v>
      </c>
      <c r="I347" s="10">
        <f t="shared" si="62"/>
        <v>0.1142061</v>
      </c>
      <c r="J347" s="10">
        <f t="shared" si="63"/>
        <v>0.1142061</v>
      </c>
      <c r="K347" s="10" t="str">
        <f t="shared" si="64"/>
        <v/>
      </c>
      <c r="L347" s="9">
        <f t="shared" si="65"/>
        <v>1.8857938999999999</v>
      </c>
      <c r="M347" s="9">
        <f t="shared" si="66"/>
        <v>1.8857938999999999</v>
      </c>
      <c r="N347" s="9" t="str">
        <f t="shared" si="67"/>
        <v/>
      </c>
      <c r="O347" s="4" t="s">
        <v>755</v>
      </c>
      <c r="Q347" s="7"/>
      <c r="R347" s="7" t="s">
        <v>1249</v>
      </c>
      <c r="S347" s="8" t="s">
        <v>1250</v>
      </c>
      <c r="T347" s="7"/>
      <c r="U347" t="str">
        <f t="shared" si="68"/>
        <v/>
      </c>
      <c r="V347" t="str">
        <f t="shared" si="69"/>
        <v/>
      </c>
      <c r="W347" t="str">
        <f t="shared" si="70"/>
        <v/>
      </c>
      <c r="X347" t="str">
        <f t="shared" si="71"/>
        <v/>
      </c>
      <c r="Y347" t="e">
        <f>VLOOKUP($A347,Runs!$G:$G,1,FALSE)</f>
        <v>#N/A</v>
      </c>
    </row>
    <row r="348" spans="1:25" ht="22.5" customHeight="1" x14ac:dyDescent="0.25">
      <c r="A348" s="2" t="s">
        <v>115</v>
      </c>
      <c r="B348" s="2" t="s">
        <v>116</v>
      </c>
      <c r="C348" s="3">
        <v>0.115</v>
      </c>
      <c r="D348" s="6" t="s">
        <v>105</v>
      </c>
      <c r="E348">
        <f>(30-C348*100)*VLOOKUP($D348,Calc!$A$1:$C$6,3,FALSE)</f>
        <v>18.5</v>
      </c>
      <c r="F348" s="6">
        <f>VLOOKUP(D348,Calc!$A$1:$B$6,2,FALSE)</f>
        <v>2</v>
      </c>
      <c r="G348" s="10">
        <f t="shared" si="60"/>
        <v>0.11520000000000001</v>
      </c>
      <c r="H348" s="9">
        <f t="shared" si="61"/>
        <v>7.1000000000000005E-5</v>
      </c>
      <c r="I348" s="10">
        <f t="shared" si="62"/>
        <v>0.11520710000000001</v>
      </c>
      <c r="J348" s="10">
        <f t="shared" si="63"/>
        <v>0.11520710000000001</v>
      </c>
      <c r="K348" s="10" t="str">
        <f t="shared" si="64"/>
        <v/>
      </c>
      <c r="L348" s="9">
        <f t="shared" si="65"/>
        <v>1.8847928999999999</v>
      </c>
      <c r="M348" s="9">
        <f t="shared" si="66"/>
        <v>1.8847928999999999</v>
      </c>
      <c r="N348" s="9" t="str">
        <f t="shared" si="67"/>
        <v/>
      </c>
      <c r="O348" s="4" t="s">
        <v>755</v>
      </c>
      <c r="P348" s="1" t="s">
        <v>1676</v>
      </c>
      <c r="Q348" s="7" t="s">
        <v>884</v>
      </c>
      <c r="R348" s="7" t="s">
        <v>885</v>
      </c>
      <c r="S348" s="8" t="s">
        <v>886</v>
      </c>
      <c r="T348" s="7"/>
      <c r="U348" t="str">
        <f t="shared" si="68"/>
        <v/>
      </c>
      <c r="V348" t="str">
        <f t="shared" si="69"/>
        <v/>
      </c>
      <c r="W348" t="str">
        <f t="shared" si="70"/>
        <v/>
      </c>
      <c r="X348" t="str">
        <f t="shared" si="71"/>
        <v/>
      </c>
      <c r="Y348" t="e">
        <f>VLOOKUP($A348,Runs!$G:$G,1,FALSE)</f>
        <v>#N/A</v>
      </c>
    </row>
    <row r="349" spans="1:25" ht="22.5" customHeight="1" x14ac:dyDescent="0.25">
      <c r="A349" s="2" t="s">
        <v>245</v>
      </c>
      <c r="B349" s="2" t="s">
        <v>246</v>
      </c>
      <c r="C349" s="3">
        <v>0.125</v>
      </c>
      <c r="D349" s="6" t="s">
        <v>242</v>
      </c>
      <c r="E349">
        <f>(30-C349*100)*VLOOKUP($D349,Calc!$A$1:$C$6,3,FALSE)</f>
        <v>43.75</v>
      </c>
      <c r="F349" s="6">
        <f>VLOOKUP(D349,Calc!$A$1:$B$6,2,FALSE)</f>
        <v>3</v>
      </c>
      <c r="G349" s="10">
        <f t="shared" si="60"/>
        <v>0.12529999999999999</v>
      </c>
      <c r="H349" s="9">
        <f t="shared" si="61"/>
        <v>8.5000000000000006E-5</v>
      </c>
      <c r="I349" s="10">
        <f t="shared" si="62"/>
        <v>0.12530849999999999</v>
      </c>
      <c r="J349" s="10">
        <f t="shared" si="63"/>
        <v>0.12530849999999999</v>
      </c>
      <c r="K349" s="10" t="str">
        <f t="shared" si="64"/>
        <v/>
      </c>
      <c r="L349" s="9">
        <f t="shared" si="65"/>
        <v>2.8746915</v>
      </c>
      <c r="M349" s="9">
        <f t="shared" si="66"/>
        <v>2.8746915</v>
      </c>
      <c r="N349" s="9" t="str">
        <f t="shared" si="67"/>
        <v/>
      </c>
      <c r="O349" s="4" t="s">
        <v>755</v>
      </c>
      <c r="Q349" s="7"/>
      <c r="R349" s="7" t="s">
        <v>246</v>
      </c>
      <c r="S349" s="8" t="s">
        <v>876</v>
      </c>
      <c r="T349" s="7"/>
      <c r="U349" t="str">
        <f t="shared" si="68"/>
        <v/>
      </c>
      <c r="V349" t="str">
        <f t="shared" si="69"/>
        <v/>
      </c>
      <c r="W349" t="str">
        <f t="shared" si="70"/>
        <v/>
      </c>
      <c r="X349" t="str">
        <f t="shared" si="71"/>
        <v/>
      </c>
      <c r="Y349" t="e">
        <f>VLOOKUP($A349,Runs!$G:$G,1,FALSE)</f>
        <v>#N/A</v>
      </c>
    </row>
    <row r="350" spans="1:25" ht="22.5" customHeight="1" x14ac:dyDescent="0.25">
      <c r="A350" s="2" t="s">
        <v>7</v>
      </c>
      <c r="B350" s="2" t="s">
        <v>8</v>
      </c>
      <c r="C350" s="3">
        <v>0.126</v>
      </c>
      <c r="D350" s="6" t="s">
        <v>2</v>
      </c>
      <c r="E350">
        <f>(30-C350*100)*VLOOKUP($D350,Calc!$A$1:$C$6,3,FALSE)</f>
        <v>8.6999999999999993</v>
      </c>
      <c r="F350" s="6">
        <f>VLOOKUP(D350,Calc!$A$1:$B$6,2,FALSE)</f>
        <v>1</v>
      </c>
      <c r="G350" s="10">
        <f t="shared" si="60"/>
        <v>0.12609999999999999</v>
      </c>
      <c r="H350" s="9">
        <f t="shared" si="61"/>
        <v>4.1999999999999998E-5</v>
      </c>
      <c r="I350" s="10">
        <f t="shared" si="62"/>
        <v>0.1261042</v>
      </c>
      <c r="J350" s="10">
        <f t="shared" si="63"/>
        <v>0.1261042</v>
      </c>
      <c r="K350" s="10" t="str">
        <f t="shared" si="64"/>
        <v/>
      </c>
      <c r="L350" s="9">
        <f t="shared" si="65"/>
        <v>0.8738958</v>
      </c>
      <c r="M350" s="9">
        <f t="shared" si="66"/>
        <v>0.8738958</v>
      </c>
      <c r="N350" s="9" t="str">
        <f t="shared" si="67"/>
        <v/>
      </c>
      <c r="O350" s="4" t="s">
        <v>755</v>
      </c>
      <c r="Q350" s="7"/>
      <c r="R350" s="7" t="s">
        <v>776</v>
      </c>
      <c r="S350" s="8" t="s">
        <v>777</v>
      </c>
      <c r="T350" s="7"/>
      <c r="U350" t="str">
        <f t="shared" si="68"/>
        <v/>
      </c>
      <c r="V350" t="str">
        <f t="shared" si="69"/>
        <v/>
      </c>
      <c r="W350" t="str">
        <f t="shared" si="70"/>
        <v/>
      </c>
      <c r="X350" t="str">
        <f t="shared" si="71"/>
        <v/>
      </c>
      <c r="Y350" t="e">
        <f>VLOOKUP($A350,Runs!$G:$G,1,FALSE)</f>
        <v>#N/A</v>
      </c>
    </row>
    <row r="351" spans="1:25" ht="22.5" customHeight="1" x14ac:dyDescent="0.25">
      <c r="A351" s="2" t="s">
        <v>217</v>
      </c>
      <c r="B351" s="2" t="s">
        <v>218</v>
      </c>
      <c r="C351" s="3">
        <v>0.13700000000000001</v>
      </c>
      <c r="D351" s="6" t="s">
        <v>105</v>
      </c>
      <c r="E351">
        <f>(30-C351*100)*VLOOKUP($D351,Calc!$A$1:$C$6,3,FALSE)</f>
        <v>16.299999999999997</v>
      </c>
      <c r="F351" s="6">
        <f>VLOOKUP(D351,Calc!$A$1:$B$6,2,FALSE)</f>
        <v>2</v>
      </c>
      <c r="G351" s="10">
        <f t="shared" si="60"/>
        <v>0.13720000000000002</v>
      </c>
      <c r="H351" s="9">
        <f t="shared" si="61"/>
        <v>5.1999999999999997E-5</v>
      </c>
      <c r="I351" s="10">
        <f t="shared" si="62"/>
        <v>0.13720520000000003</v>
      </c>
      <c r="J351" s="10">
        <f t="shared" si="63"/>
        <v>0.13720520000000003</v>
      </c>
      <c r="K351" s="10" t="str">
        <f t="shared" si="64"/>
        <v/>
      </c>
      <c r="L351" s="9">
        <f t="shared" si="65"/>
        <v>1.8627948000000001</v>
      </c>
      <c r="M351" s="9">
        <f t="shared" si="66"/>
        <v>1.8627948000000001</v>
      </c>
      <c r="N351" s="9" t="str">
        <f t="shared" si="67"/>
        <v/>
      </c>
      <c r="O351" s="4" t="s">
        <v>755</v>
      </c>
      <c r="Q351" s="7"/>
      <c r="R351" s="7" t="s">
        <v>1160</v>
      </c>
      <c r="S351" s="8" t="s">
        <v>1161</v>
      </c>
      <c r="T351" s="7"/>
      <c r="U351" t="str">
        <f t="shared" si="68"/>
        <v/>
      </c>
      <c r="V351" t="str">
        <f t="shared" si="69"/>
        <v/>
      </c>
      <c r="W351" t="str">
        <f t="shared" si="70"/>
        <v/>
      </c>
      <c r="X351" t="str">
        <f t="shared" si="71"/>
        <v/>
      </c>
      <c r="Y351" t="e">
        <f>VLOOKUP($A351,Runs!$G:$G,1,FALSE)</f>
        <v>#N/A</v>
      </c>
    </row>
    <row r="352" spans="1:25" ht="22.5" customHeight="1" x14ac:dyDescent="0.25">
      <c r="A352" s="2" t="s">
        <v>374</v>
      </c>
      <c r="B352" s="2" t="s">
        <v>375</v>
      </c>
      <c r="C352" s="3">
        <v>0.13700000000000001</v>
      </c>
      <c r="D352" s="6" t="s">
        <v>242</v>
      </c>
      <c r="E352">
        <f>(30-C352*100)*VLOOKUP($D352,Calc!$A$1:$C$6,3,FALSE)</f>
        <v>40.749999999999993</v>
      </c>
      <c r="F352" s="6">
        <f>VLOOKUP(D352,Calc!$A$1:$B$6,2,FALSE)</f>
        <v>3</v>
      </c>
      <c r="G352" s="10">
        <f t="shared" si="60"/>
        <v>0.13730000000000001</v>
      </c>
      <c r="H352" s="9">
        <f t="shared" si="61"/>
        <v>5.3999999999999998E-5</v>
      </c>
      <c r="I352" s="10">
        <f t="shared" si="62"/>
        <v>0.13730539999999999</v>
      </c>
      <c r="J352" s="10">
        <f t="shared" si="63"/>
        <v>0.13730539999999999</v>
      </c>
      <c r="K352" s="10" t="str">
        <f t="shared" si="64"/>
        <v/>
      </c>
      <c r="L352" s="9">
        <f t="shared" si="65"/>
        <v>2.8626946000000002</v>
      </c>
      <c r="M352" s="9">
        <f t="shared" si="66"/>
        <v>2.8626946000000002</v>
      </c>
      <c r="N352" s="9" t="str">
        <f t="shared" si="67"/>
        <v/>
      </c>
      <c r="O352" s="4" t="s">
        <v>755</v>
      </c>
      <c r="Q352" s="7"/>
      <c r="R352" s="8" t="s">
        <v>1253</v>
      </c>
      <c r="S352" s="7"/>
      <c r="T352" s="7"/>
      <c r="U352" t="str">
        <f t="shared" si="68"/>
        <v/>
      </c>
      <c r="V352" t="str">
        <f t="shared" si="69"/>
        <v/>
      </c>
      <c r="W352" t="str">
        <f t="shared" si="70"/>
        <v/>
      </c>
      <c r="X352" t="str">
        <f t="shared" si="71"/>
        <v/>
      </c>
      <c r="Y352" t="e">
        <f>VLOOKUP($A352,Runs!$G:$G,1,FALSE)</f>
        <v>#N/A</v>
      </c>
    </row>
    <row r="353" spans="1:25" ht="22.5" customHeight="1" x14ac:dyDescent="0.25">
      <c r="A353" s="2" t="s">
        <v>180</v>
      </c>
      <c r="B353" s="2" t="s">
        <v>181</v>
      </c>
      <c r="C353" s="3">
        <v>0.13800000000000001</v>
      </c>
      <c r="D353" s="6" t="s">
        <v>105</v>
      </c>
      <c r="E353">
        <f>(30-C353*100)*VLOOKUP($D353,Calc!$A$1:$C$6,3,FALSE)</f>
        <v>16.2</v>
      </c>
      <c r="F353" s="6">
        <f>VLOOKUP(D353,Calc!$A$1:$B$6,2,FALSE)</f>
        <v>2</v>
      </c>
      <c r="G353" s="10">
        <f t="shared" si="60"/>
        <v>0.13820000000000002</v>
      </c>
      <c r="H353" s="9">
        <f t="shared" si="61"/>
        <v>6.0999999999999999E-5</v>
      </c>
      <c r="I353" s="10">
        <f t="shared" si="62"/>
        <v>0.13820610000000003</v>
      </c>
      <c r="J353" s="10">
        <f t="shared" si="63"/>
        <v>0.13820610000000003</v>
      </c>
      <c r="K353" s="10" t="str">
        <f t="shared" si="64"/>
        <v/>
      </c>
      <c r="L353" s="9">
        <f t="shared" si="65"/>
        <v>1.8617938999999999</v>
      </c>
      <c r="M353" s="9">
        <f t="shared" si="66"/>
        <v>1.8617938999999999</v>
      </c>
      <c r="N353" s="9" t="str">
        <f t="shared" si="67"/>
        <v/>
      </c>
      <c r="O353" s="4" t="s">
        <v>755</v>
      </c>
      <c r="Q353" s="7"/>
      <c r="R353" s="7" t="s">
        <v>998</v>
      </c>
      <c r="S353" s="8" t="s">
        <v>999</v>
      </c>
      <c r="T353" s="7"/>
      <c r="U353" t="str">
        <f t="shared" si="68"/>
        <v/>
      </c>
      <c r="V353" t="str">
        <f t="shared" si="69"/>
        <v/>
      </c>
      <c r="W353" t="str">
        <f t="shared" si="70"/>
        <v/>
      </c>
      <c r="X353" t="str">
        <f t="shared" si="71"/>
        <v/>
      </c>
      <c r="Y353" t="e">
        <f>VLOOKUP($A353,Runs!$G:$G,1,FALSE)</f>
        <v>#N/A</v>
      </c>
    </row>
    <row r="354" spans="1:25" ht="22.5" customHeight="1" x14ac:dyDescent="0.25">
      <c r="A354" s="2" t="s">
        <v>16</v>
      </c>
      <c r="B354" s="2" t="s">
        <v>17</v>
      </c>
      <c r="C354" s="3">
        <v>0.13900000000000001</v>
      </c>
      <c r="D354" s="6" t="s">
        <v>2</v>
      </c>
      <c r="E354">
        <f>(30-C354*100)*VLOOKUP($D354,Calc!$A$1:$C$6,3,FALSE)</f>
        <v>8.0499999999999989</v>
      </c>
      <c r="F354" s="6">
        <f>VLOOKUP(D354,Calc!$A$1:$B$6,2,FALSE)</f>
        <v>1</v>
      </c>
      <c r="G354" s="10">
        <f t="shared" si="60"/>
        <v>0.1391</v>
      </c>
      <c r="H354" s="9">
        <f t="shared" si="61"/>
        <v>4.6999999999999997E-5</v>
      </c>
      <c r="I354" s="10">
        <f t="shared" si="62"/>
        <v>0.1391047</v>
      </c>
      <c r="J354" s="10">
        <f t="shared" si="63"/>
        <v>0.1391047</v>
      </c>
      <c r="K354" s="10" t="str">
        <f t="shared" si="64"/>
        <v/>
      </c>
      <c r="L354" s="9">
        <f t="shared" si="65"/>
        <v>0.86089530000000003</v>
      </c>
      <c r="M354" s="9">
        <f t="shared" si="66"/>
        <v>0.86089530000000003</v>
      </c>
      <c r="N354" s="9" t="str">
        <f t="shared" si="67"/>
        <v/>
      </c>
      <c r="O354" s="4" t="s">
        <v>755</v>
      </c>
      <c r="P354" s="1" t="s">
        <v>1665</v>
      </c>
      <c r="Q354" s="7" t="s">
        <v>791</v>
      </c>
      <c r="R354" s="7" t="s">
        <v>792</v>
      </c>
      <c r="S354" s="8" t="s">
        <v>793</v>
      </c>
      <c r="T354" s="7"/>
      <c r="U354" t="str">
        <f t="shared" si="68"/>
        <v/>
      </c>
      <c r="V354" t="str">
        <f t="shared" si="69"/>
        <v/>
      </c>
      <c r="W354" t="str">
        <f t="shared" si="70"/>
        <v/>
      </c>
      <c r="X354" t="str">
        <f t="shared" si="71"/>
        <v/>
      </c>
      <c r="Y354" t="e">
        <f>VLOOKUP($A354,Runs!$G:$G,1,FALSE)</f>
        <v>#N/A</v>
      </c>
    </row>
    <row r="355" spans="1:25" ht="22.5" customHeight="1" x14ac:dyDescent="0.25">
      <c r="A355" s="2" t="s">
        <v>44</v>
      </c>
      <c r="B355" s="2" t="s">
        <v>45</v>
      </c>
      <c r="C355" s="3">
        <v>0.14099999999999999</v>
      </c>
      <c r="D355" s="6" t="s">
        <v>2</v>
      </c>
      <c r="E355">
        <f>(30-C355*100)*VLOOKUP($D355,Calc!$A$1:$C$6,3,FALSE)</f>
        <v>7.9500000000000011</v>
      </c>
      <c r="F355" s="6">
        <f>VLOOKUP(D355,Calc!$A$1:$B$6,2,FALSE)</f>
        <v>1</v>
      </c>
      <c r="G355" s="10">
        <f t="shared" si="60"/>
        <v>0.14109999999999998</v>
      </c>
      <c r="H355" s="9">
        <f t="shared" si="61"/>
        <v>5.1E-5</v>
      </c>
      <c r="I355" s="10">
        <f t="shared" si="62"/>
        <v>0.14110509999999998</v>
      </c>
      <c r="J355" s="10">
        <f t="shared" si="63"/>
        <v>0.14110509999999998</v>
      </c>
      <c r="K355" s="10" t="str">
        <f t="shared" si="64"/>
        <v/>
      </c>
      <c r="L355" s="9">
        <f t="shared" si="65"/>
        <v>0.85889490000000002</v>
      </c>
      <c r="M355" s="9">
        <f t="shared" si="66"/>
        <v>0.85889490000000002</v>
      </c>
      <c r="N355" s="9" t="str">
        <f t="shared" si="67"/>
        <v/>
      </c>
      <c r="O355" s="4" t="s">
        <v>755</v>
      </c>
      <c r="Q355" s="7"/>
      <c r="R355" s="8" t="s">
        <v>832</v>
      </c>
      <c r="S355" s="7"/>
      <c r="T355" s="7"/>
      <c r="U355" t="str">
        <f t="shared" si="68"/>
        <v/>
      </c>
      <c r="V355" t="str">
        <f t="shared" si="69"/>
        <v/>
      </c>
      <c r="W355" t="str">
        <f t="shared" si="70"/>
        <v/>
      </c>
      <c r="X355" t="str">
        <f t="shared" si="71"/>
        <v/>
      </c>
      <c r="Y355" t="e">
        <f>VLOOKUP($A355,Runs!$G:$G,1,FALSE)</f>
        <v>#N/A</v>
      </c>
    </row>
    <row r="356" spans="1:25" ht="22.5" customHeight="1" x14ac:dyDescent="0.25">
      <c r="A356" s="2" t="s">
        <v>27</v>
      </c>
      <c r="B356" s="2" t="s">
        <v>28</v>
      </c>
      <c r="C356" s="3">
        <v>0.14299999999999999</v>
      </c>
      <c r="D356" s="6" t="s">
        <v>2</v>
      </c>
      <c r="E356">
        <f>(30-C356*100)*VLOOKUP($D356,Calc!$A$1:$C$6,3,FALSE)</f>
        <v>7.8500000000000005</v>
      </c>
      <c r="F356" s="6">
        <f>VLOOKUP(D356,Calc!$A$1:$B$6,2,FALSE)</f>
        <v>1</v>
      </c>
      <c r="G356" s="10">
        <f t="shared" si="60"/>
        <v>0.14309999999999998</v>
      </c>
      <c r="H356" s="9">
        <f t="shared" si="61"/>
        <v>4.6999999999999997E-5</v>
      </c>
      <c r="I356" s="10">
        <f t="shared" si="62"/>
        <v>0.14310469999999997</v>
      </c>
      <c r="J356" s="10">
        <f t="shared" si="63"/>
        <v>0.14310469999999997</v>
      </c>
      <c r="K356" s="10" t="str">
        <f t="shared" si="64"/>
        <v/>
      </c>
      <c r="L356" s="9">
        <f t="shared" si="65"/>
        <v>0.85689530000000003</v>
      </c>
      <c r="M356" s="9">
        <f t="shared" si="66"/>
        <v>0.85689530000000003</v>
      </c>
      <c r="N356" s="9" t="str">
        <f t="shared" si="67"/>
        <v/>
      </c>
      <c r="O356" s="4" t="s">
        <v>755</v>
      </c>
      <c r="Q356" s="7" t="s">
        <v>780</v>
      </c>
      <c r="R356" s="7" t="s">
        <v>805</v>
      </c>
      <c r="S356" s="8" t="s">
        <v>806</v>
      </c>
      <c r="T356" s="7"/>
      <c r="U356" t="str">
        <f t="shared" si="68"/>
        <v/>
      </c>
      <c r="V356" t="str">
        <f t="shared" si="69"/>
        <v/>
      </c>
      <c r="W356" t="str">
        <f t="shared" si="70"/>
        <v/>
      </c>
      <c r="X356" t="str">
        <f t="shared" si="71"/>
        <v/>
      </c>
      <c r="Y356" t="e">
        <f>VLOOKUP($A356,Runs!$G:$G,1,FALSE)</f>
        <v>#N/A</v>
      </c>
    </row>
    <row r="357" spans="1:25" ht="22.5" customHeight="1" x14ac:dyDescent="0.25">
      <c r="A357" s="2" t="s">
        <v>77</v>
      </c>
      <c r="B357" s="2" t="s">
        <v>78</v>
      </c>
      <c r="C357" s="3">
        <v>0.14699999999999999</v>
      </c>
      <c r="D357" s="6" t="s">
        <v>2</v>
      </c>
      <c r="E357">
        <f>(30-C357*100)*VLOOKUP($D357,Calc!$A$1:$C$6,3,FALSE)</f>
        <v>7.65</v>
      </c>
      <c r="F357" s="6">
        <f>VLOOKUP(D357,Calc!$A$1:$B$6,2,FALSE)</f>
        <v>1</v>
      </c>
      <c r="G357" s="10">
        <f t="shared" si="60"/>
        <v>0.14709999999999998</v>
      </c>
      <c r="H357" s="9">
        <f t="shared" si="61"/>
        <v>5.3000000000000001E-5</v>
      </c>
      <c r="I357" s="10">
        <f t="shared" si="62"/>
        <v>0.14710529999999999</v>
      </c>
      <c r="J357" s="10">
        <f t="shared" si="63"/>
        <v>0.14710529999999999</v>
      </c>
      <c r="K357" s="10" t="str">
        <f t="shared" si="64"/>
        <v/>
      </c>
      <c r="L357" s="9">
        <f t="shared" si="65"/>
        <v>0.85289470000000001</v>
      </c>
      <c r="M357" s="9">
        <f t="shared" si="66"/>
        <v>0.85289470000000001</v>
      </c>
      <c r="N357" s="9" t="str">
        <f t="shared" si="67"/>
        <v/>
      </c>
      <c r="O357" s="4" t="s">
        <v>755</v>
      </c>
      <c r="Q357" s="7"/>
      <c r="R357" s="7" t="s">
        <v>892</v>
      </c>
      <c r="S357" s="8" t="s">
        <v>893</v>
      </c>
      <c r="T357" s="7"/>
      <c r="U357" t="str">
        <f t="shared" si="68"/>
        <v/>
      </c>
      <c r="V357" t="str">
        <f t="shared" si="69"/>
        <v/>
      </c>
      <c r="W357" t="str">
        <f t="shared" si="70"/>
        <v/>
      </c>
      <c r="X357" t="str">
        <f t="shared" si="71"/>
        <v/>
      </c>
      <c r="Y357" t="e">
        <f>VLOOKUP($A357,Runs!$G:$G,1,FALSE)</f>
        <v>#N/A</v>
      </c>
    </row>
    <row r="358" spans="1:25" ht="22.5" customHeight="1" x14ac:dyDescent="0.25">
      <c r="A358" s="2" t="s">
        <v>69</v>
      </c>
      <c r="B358" s="2" t="s">
        <v>70</v>
      </c>
      <c r="C358" s="3">
        <v>0.152</v>
      </c>
      <c r="D358" s="6" t="s">
        <v>2</v>
      </c>
      <c r="E358">
        <f>(30-C358*100)*VLOOKUP($D358,Calc!$A$1:$C$6,3,FALSE)</f>
        <v>7.4</v>
      </c>
      <c r="F358" s="6">
        <f>VLOOKUP(D358,Calc!$A$1:$B$6,2,FALSE)</f>
        <v>1</v>
      </c>
      <c r="G358" s="10">
        <f t="shared" si="60"/>
        <v>0.15209999999999999</v>
      </c>
      <c r="H358" s="9">
        <f t="shared" si="61"/>
        <v>7.7000000000000001E-5</v>
      </c>
      <c r="I358" s="10">
        <f t="shared" si="62"/>
        <v>0.15210769999999998</v>
      </c>
      <c r="J358" s="10">
        <f t="shared" si="63"/>
        <v>0.15210769999999998</v>
      </c>
      <c r="K358" s="10" t="str">
        <f t="shared" si="64"/>
        <v/>
      </c>
      <c r="L358" s="9">
        <f t="shared" si="65"/>
        <v>0.84789230000000004</v>
      </c>
      <c r="M358" s="9">
        <f t="shared" si="66"/>
        <v>0.84789230000000004</v>
      </c>
      <c r="N358" s="9" t="str">
        <f t="shared" si="67"/>
        <v/>
      </c>
      <c r="O358" s="4" t="s">
        <v>755</v>
      </c>
      <c r="Q358" s="7" t="s">
        <v>858</v>
      </c>
      <c r="R358" s="7" t="s">
        <v>859</v>
      </c>
      <c r="S358" s="8" t="s">
        <v>860</v>
      </c>
      <c r="T358" s="7"/>
      <c r="U358" t="str">
        <f t="shared" si="68"/>
        <v/>
      </c>
      <c r="V358" t="str">
        <f t="shared" si="69"/>
        <v/>
      </c>
      <c r="W358" t="str">
        <f t="shared" si="70"/>
        <v/>
      </c>
      <c r="X358" t="str">
        <f t="shared" si="71"/>
        <v/>
      </c>
      <c r="Y358" t="e">
        <f>VLOOKUP($A358,Runs!$G:$G,1,FALSE)</f>
        <v>#N/A</v>
      </c>
    </row>
    <row r="359" spans="1:25" ht="22.5" customHeight="1" x14ac:dyDescent="0.25">
      <c r="A359" s="2" t="s">
        <v>11</v>
      </c>
      <c r="B359" s="2" t="s">
        <v>12</v>
      </c>
      <c r="C359" s="3">
        <v>0.153</v>
      </c>
      <c r="D359" s="6" t="s">
        <v>2</v>
      </c>
      <c r="E359">
        <f>(30-C359*100)*VLOOKUP($D359,Calc!$A$1:$C$6,3,FALSE)</f>
        <v>7.3500000000000005</v>
      </c>
      <c r="F359" s="6">
        <f>VLOOKUP(D359,Calc!$A$1:$B$6,2,FALSE)</f>
        <v>1</v>
      </c>
      <c r="G359" s="10">
        <f t="shared" si="60"/>
        <v>0.15309999999999999</v>
      </c>
      <c r="H359" s="9">
        <f t="shared" si="61"/>
        <v>6.4999999999999994E-5</v>
      </c>
      <c r="I359" s="10">
        <f t="shared" si="62"/>
        <v>0.15310649999999998</v>
      </c>
      <c r="J359" s="10">
        <f t="shared" si="63"/>
        <v>0.15310649999999998</v>
      </c>
      <c r="K359" s="10" t="str">
        <f t="shared" si="64"/>
        <v/>
      </c>
      <c r="L359" s="9">
        <f t="shared" si="65"/>
        <v>0.84689349999999997</v>
      </c>
      <c r="M359" s="9">
        <f t="shared" si="66"/>
        <v>0.84689349999999997</v>
      </c>
      <c r="N359" s="9" t="str">
        <f t="shared" si="67"/>
        <v/>
      </c>
      <c r="O359" s="4" t="s">
        <v>755</v>
      </c>
      <c r="Q359" s="7" t="s">
        <v>780</v>
      </c>
      <c r="R359" s="7" t="s">
        <v>781</v>
      </c>
      <c r="S359" s="8" t="s">
        <v>782</v>
      </c>
      <c r="T359" s="7"/>
      <c r="U359" t="str">
        <f t="shared" si="68"/>
        <v/>
      </c>
      <c r="V359" t="str">
        <f t="shared" si="69"/>
        <v/>
      </c>
      <c r="W359" t="str">
        <f t="shared" si="70"/>
        <v/>
      </c>
      <c r="X359" t="str">
        <f t="shared" si="71"/>
        <v/>
      </c>
      <c r="Y359" t="e">
        <f>VLOOKUP($A359,Runs!$G:$G,1,FALSE)</f>
        <v>#N/A</v>
      </c>
    </row>
    <row r="360" spans="1:25" ht="22.5" customHeight="1" x14ac:dyDescent="0.25">
      <c r="A360" s="2" t="s">
        <v>150</v>
      </c>
      <c r="B360" s="2" t="s">
        <v>151</v>
      </c>
      <c r="C360" s="3">
        <v>0.16300000000000001</v>
      </c>
      <c r="D360" s="6" t="s">
        <v>105</v>
      </c>
      <c r="E360">
        <f>(30-C360*100)*VLOOKUP($D360,Calc!$A$1:$C$6,3,FALSE)</f>
        <v>13.7</v>
      </c>
      <c r="F360" s="6">
        <f>VLOOKUP(D360,Calc!$A$1:$B$6,2,FALSE)</f>
        <v>2</v>
      </c>
      <c r="G360" s="10">
        <f t="shared" si="60"/>
        <v>0.16320000000000001</v>
      </c>
      <c r="H360" s="9">
        <f t="shared" si="61"/>
        <v>1.5999999999999999E-5</v>
      </c>
      <c r="I360" s="10">
        <f t="shared" si="62"/>
        <v>0.1632016</v>
      </c>
      <c r="J360" s="10">
        <f t="shared" si="63"/>
        <v>0.1632016</v>
      </c>
      <c r="K360" s="10" t="str">
        <f t="shared" si="64"/>
        <v/>
      </c>
      <c r="L360" s="9">
        <f t="shared" si="65"/>
        <v>1.8367983999999999</v>
      </c>
      <c r="M360" s="9">
        <f t="shared" si="66"/>
        <v>1.8367983999999999</v>
      </c>
      <c r="N360" s="9" t="str">
        <f t="shared" si="67"/>
        <v/>
      </c>
      <c r="O360" s="4" t="s">
        <v>755</v>
      </c>
      <c r="Q360" s="7"/>
      <c r="R360" s="7" t="s">
        <v>947</v>
      </c>
      <c r="S360" s="8" t="s">
        <v>948</v>
      </c>
      <c r="T360" s="7"/>
      <c r="U360" t="str">
        <f t="shared" si="68"/>
        <v/>
      </c>
      <c r="V360" t="str">
        <f t="shared" si="69"/>
        <v/>
      </c>
      <c r="W360" t="str">
        <f t="shared" si="70"/>
        <v/>
      </c>
      <c r="X360" t="str">
        <f t="shared" si="71"/>
        <v/>
      </c>
      <c r="Y360" t="e">
        <f>VLOOKUP($A360,Runs!$G:$G,1,FALSE)</f>
        <v>#N/A</v>
      </c>
    </row>
    <row r="361" spans="1:25" ht="22.5" customHeight="1" x14ac:dyDescent="0.25">
      <c r="A361" s="2" t="s">
        <v>91</v>
      </c>
      <c r="B361" s="2" t="s">
        <v>92</v>
      </c>
      <c r="C361" s="3">
        <v>0.16400000000000001</v>
      </c>
      <c r="D361" s="6" t="s">
        <v>2</v>
      </c>
      <c r="E361">
        <f>(30-C361*100)*VLOOKUP($D361,Calc!$A$1:$C$6,3,FALSE)</f>
        <v>6.7999999999999989</v>
      </c>
      <c r="F361" s="6">
        <f>VLOOKUP(D361,Calc!$A$1:$B$6,2,FALSE)</f>
        <v>1</v>
      </c>
      <c r="G361" s="10">
        <f t="shared" si="60"/>
        <v>0.1641</v>
      </c>
      <c r="H361" s="9">
        <f t="shared" si="61"/>
        <v>9.1000000000000003E-5</v>
      </c>
      <c r="I361" s="10">
        <f t="shared" si="62"/>
        <v>0.16410910000000001</v>
      </c>
      <c r="J361" s="10">
        <f t="shared" si="63"/>
        <v>0.16410910000000001</v>
      </c>
      <c r="K361" s="10" t="str">
        <f t="shared" si="64"/>
        <v/>
      </c>
      <c r="L361" s="9">
        <f t="shared" si="65"/>
        <v>0.83589089999999999</v>
      </c>
      <c r="M361" s="9">
        <f t="shared" si="66"/>
        <v>0.83589089999999999</v>
      </c>
      <c r="N361" s="9" t="str">
        <f t="shared" si="67"/>
        <v/>
      </c>
      <c r="O361" s="4" t="s">
        <v>755</v>
      </c>
      <c r="Q361" s="7"/>
      <c r="R361" s="7" t="s">
        <v>996</v>
      </c>
      <c r="S361" s="8" t="s">
        <v>997</v>
      </c>
      <c r="T361" s="7"/>
      <c r="U361" t="str">
        <f t="shared" si="68"/>
        <v/>
      </c>
      <c r="V361" t="str">
        <f t="shared" si="69"/>
        <v/>
      </c>
      <c r="W361" t="str">
        <f t="shared" si="70"/>
        <v/>
      </c>
      <c r="X361" t="str">
        <f t="shared" si="71"/>
        <v/>
      </c>
      <c r="Y361" t="e">
        <f>VLOOKUP($A361,Runs!$G:$G,1,FALSE)</f>
        <v>#N/A</v>
      </c>
    </row>
    <row r="362" spans="1:25" ht="22.5" customHeight="1" x14ac:dyDescent="0.25">
      <c r="A362" s="2" t="s">
        <v>198</v>
      </c>
      <c r="B362" s="2" t="s">
        <v>731</v>
      </c>
      <c r="C362" s="3">
        <v>0.17299999999999999</v>
      </c>
      <c r="D362" s="6" t="s">
        <v>105</v>
      </c>
      <c r="E362">
        <f>(30-C362*100)*VLOOKUP($D362,Calc!$A$1:$C$6,3,FALSE)</f>
        <v>12.700000000000003</v>
      </c>
      <c r="F362" s="6">
        <f>VLOOKUP(D362,Calc!$A$1:$B$6,2,FALSE)</f>
        <v>2</v>
      </c>
      <c r="G362" s="10">
        <f t="shared" si="60"/>
        <v>0.17319999999999999</v>
      </c>
      <c r="H362" s="9">
        <f t="shared" si="61"/>
        <v>5.8E-5</v>
      </c>
      <c r="I362" s="10">
        <f t="shared" si="62"/>
        <v>0.17320579999999999</v>
      </c>
      <c r="J362" s="10">
        <f t="shared" si="63"/>
        <v>0.17320579999999999</v>
      </c>
      <c r="K362" s="10" t="str">
        <f t="shared" si="64"/>
        <v/>
      </c>
      <c r="L362" s="9">
        <f t="shared" si="65"/>
        <v>1.8267941999999999</v>
      </c>
      <c r="M362" s="9">
        <f t="shared" si="66"/>
        <v>1.8267941999999999</v>
      </c>
      <c r="N362" s="9" t="str">
        <f t="shared" si="67"/>
        <v/>
      </c>
      <c r="O362" s="4" t="s">
        <v>755</v>
      </c>
      <c r="P362" s="1" t="s">
        <v>1676</v>
      </c>
      <c r="Q362" s="7" t="s">
        <v>1024</v>
      </c>
      <c r="R362" s="7" t="s">
        <v>1025</v>
      </c>
      <c r="S362" s="8" t="s">
        <v>1026</v>
      </c>
      <c r="T362" s="7"/>
      <c r="U362" t="str">
        <f t="shared" si="68"/>
        <v/>
      </c>
      <c r="V362" t="str">
        <f t="shared" si="69"/>
        <v/>
      </c>
      <c r="W362" t="str">
        <f t="shared" si="70"/>
        <v/>
      </c>
      <c r="X362" t="str">
        <f t="shared" si="71"/>
        <v/>
      </c>
      <c r="Y362" t="e">
        <f>VLOOKUP($A362,Runs!$G:$G,1,FALSE)</f>
        <v>#N/A</v>
      </c>
    </row>
    <row r="363" spans="1:25" ht="22.5" customHeight="1" x14ac:dyDescent="0.25">
      <c r="A363" s="2" t="s">
        <v>14</v>
      </c>
      <c r="B363" s="2" t="s">
        <v>15</v>
      </c>
      <c r="C363" s="3">
        <v>0.17299999999999999</v>
      </c>
      <c r="D363" s="6" t="s">
        <v>2</v>
      </c>
      <c r="E363">
        <f>(30-C363*100)*VLOOKUP($D363,Calc!$A$1:$C$6,3,FALSE)</f>
        <v>6.3500000000000014</v>
      </c>
      <c r="F363" s="6">
        <f>VLOOKUP(D363,Calc!$A$1:$B$6,2,FALSE)</f>
        <v>1</v>
      </c>
      <c r="G363" s="10">
        <f t="shared" si="60"/>
        <v>0.17309999999999998</v>
      </c>
      <c r="H363" s="9">
        <f t="shared" si="61"/>
        <v>6.0999999999999999E-5</v>
      </c>
      <c r="I363" s="10">
        <f t="shared" si="62"/>
        <v>0.17310609999999998</v>
      </c>
      <c r="J363" s="10">
        <f t="shared" si="63"/>
        <v>0.17310609999999998</v>
      </c>
      <c r="K363" s="10" t="str">
        <f t="shared" si="64"/>
        <v/>
      </c>
      <c r="L363" s="9">
        <f t="shared" si="65"/>
        <v>0.82689389999999996</v>
      </c>
      <c r="M363" s="9">
        <f t="shared" si="66"/>
        <v>0.82689389999999996</v>
      </c>
      <c r="N363" s="9" t="str">
        <f t="shared" si="67"/>
        <v/>
      </c>
      <c r="O363" s="4" t="s">
        <v>755</v>
      </c>
      <c r="Q363" s="7" t="s">
        <v>788</v>
      </c>
      <c r="R363" s="7" t="s">
        <v>789</v>
      </c>
      <c r="S363" s="8" t="s">
        <v>790</v>
      </c>
      <c r="T363" s="7"/>
      <c r="U363" t="str">
        <f t="shared" si="68"/>
        <v/>
      </c>
      <c r="V363" t="str">
        <f t="shared" si="69"/>
        <v/>
      </c>
      <c r="W363" t="str">
        <f t="shared" si="70"/>
        <v/>
      </c>
      <c r="X363" t="str">
        <f t="shared" si="71"/>
        <v/>
      </c>
      <c r="Y363" t="e">
        <f>VLOOKUP($A363,Runs!$G:$G,1,FALSE)</f>
        <v>#N/A</v>
      </c>
    </row>
    <row r="364" spans="1:25" ht="22.5" customHeight="1" x14ac:dyDescent="0.25">
      <c r="A364" s="2" t="s">
        <v>32</v>
      </c>
      <c r="B364" s="2" t="s">
        <v>33</v>
      </c>
      <c r="C364" s="3">
        <v>0.17899999999999999</v>
      </c>
      <c r="D364" s="6" t="s">
        <v>2</v>
      </c>
      <c r="E364">
        <f>(30-C364*100)*VLOOKUP($D364,Calc!$A$1:$C$6,3,FALSE)</f>
        <v>6.0500000000000007</v>
      </c>
      <c r="F364" s="6">
        <f>VLOOKUP(D364,Calc!$A$1:$B$6,2,FALSE)</f>
        <v>1</v>
      </c>
      <c r="G364" s="10">
        <f t="shared" si="60"/>
        <v>0.17909999999999998</v>
      </c>
      <c r="H364" s="9">
        <f t="shared" si="61"/>
        <v>1.5999999999999999E-5</v>
      </c>
      <c r="I364" s="10">
        <f t="shared" si="62"/>
        <v>0.17910159999999997</v>
      </c>
      <c r="J364" s="10">
        <f t="shared" si="63"/>
        <v>0.17910159999999997</v>
      </c>
      <c r="K364" s="10" t="str">
        <f t="shared" si="64"/>
        <v/>
      </c>
      <c r="L364" s="9">
        <f t="shared" si="65"/>
        <v>0.82089840000000003</v>
      </c>
      <c r="M364" s="9">
        <f t="shared" si="66"/>
        <v>0.82089840000000003</v>
      </c>
      <c r="N364" s="9" t="str">
        <f t="shared" si="67"/>
        <v/>
      </c>
      <c r="O364" s="4" t="s">
        <v>755</v>
      </c>
      <c r="Q364" s="7"/>
      <c r="R364" s="7" t="s">
        <v>813</v>
      </c>
      <c r="S364" s="8" t="s">
        <v>814</v>
      </c>
      <c r="T364" s="7"/>
      <c r="U364" t="str">
        <f t="shared" si="68"/>
        <v/>
      </c>
      <c r="V364" t="str">
        <f t="shared" si="69"/>
        <v/>
      </c>
      <c r="W364" t="str">
        <f t="shared" si="70"/>
        <v/>
      </c>
      <c r="X364" t="str">
        <f t="shared" si="71"/>
        <v/>
      </c>
      <c r="Y364" t="e">
        <f>VLOOKUP($A364,Runs!$G:$G,1,FALSE)</f>
        <v>#N/A</v>
      </c>
    </row>
    <row r="365" spans="1:25" ht="22.5" customHeight="1" x14ac:dyDescent="0.25">
      <c r="A365" s="2" t="s">
        <v>67</v>
      </c>
      <c r="B365" s="2" t="s">
        <v>68</v>
      </c>
      <c r="C365" s="3">
        <v>0.189</v>
      </c>
      <c r="D365" s="6" t="s">
        <v>2</v>
      </c>
      <c r="E365">
        <f>(30-C365*100)*VLOOKUP($D365,Calc!$A$1:$C$6,3,FALSE)</f>
        <v>5.5500000000000007</v>
      </c>
      <c r="F365" s="6">
        <f>VLOOKUP(D365,Calc!$A$1:$B$6,2,FALSE)</f>
        <v>1</v>
      </c>
      <c r="G365" s="10">
        <f t="shared" si="60"/>
        <v>0.18909999999999999</v>
      </c>
      <c r="H365" s="9">
        <f t="shared" si="61"/>
        <v>5.5999999999999999E-5</v>
      </c>
      <c r="I365" s="10">
        <f t="shared" si="62"/>
        <v>0.18910559999999998</v>
      </c>
      <c r="J365" s="10">
        <f t="shared" si="63"/>
        <v>0.18910559999999998</v>
      </c>
      <c r="K365" s="10" t="str">
        <f t="shared" si="64"/>
        <v/>
      </c>
      <c r="L365" s="9">
        <f t="shared" si="65"/>
        <v>0.81089440000000002</v>
      </c>
      <c r="M365" s="9">
        <f t="shared" si="66"/>
        <v>0.81089440000000002</v>
      </c>
      <c r="N365" s="9" t="str">
        <f t="shared" si="67"/>
        <v/>
      </c>
      <c r="O365" s="4" t="s">
        <v>755</v>
      </c>
      <c r="Q365" s="7" t="s">
        <v>855</v>
      </c>
      <c r="R365" s="7" t="s">
        <v>856</v>
      </c>
      <c r="S365" s="8" t="s">
        <v>857</v>
      </c>
      <c r="T365" s="7"/>
      <c r="U365" t="str">
        <f t="shared" si="68"/>
        <v/>
      </c>
      <c r="V365" t="str">
        <f t="shared" si="69"/>
        <v/>
      </c>
      <c r="W365" t="str">
        <f t="shared" si="70"/>
        <v/>
      </c>
      <c r="X365" t="str">
        <f t="shared" si="71"/>
        <v/>
      </c>
      <c r="Y365" t="e">
        <f>VLOOKUP($A365,Runs!$G:$G,1,FALSE)</f>
        <v>#N/A</v>
      </c>
    </row>
    <row r="366" spans="1:25" ht="22.5" customHeight="1" x14ac:dyDescent="0.25">
      <c r="A366" s="2" t="s">
        <v>9</v>
      </c>
      <c r="B366" s="2" t="s">
        <v>10</v>
      </c>
      <c r="C366" s="3">
        <v>0.20100000000000001</v>
      </c>
      <c r="D366" s="6" t="s">
        <v>2</v>
      </c>
      <c r="E366">
        <f>(30-C366*100)*VLOOKUP($D366,Calc!$A$1:$C$6,3,FALSE)</f>
        <v>4.9499999999999993</v>
      </c>
      <c r="F366" s="6">
        <f>VLOOKUP(D366,Calc!$A$1:$B$6,2,FALSE)</f>
        <v>1</v>
      </c>
      <c r="G366" s="10">
        <f t="shared" si="60"/>
        <v>0.2011</v>
      </c>
      <c r="H366" s="9">
        <f t="shared" si="61"/>
        <v>4.3999999999999999E-5</v>
      </c>
      <c r="I366" s="10">
        <f t="shared" si="62"/>
        <v>0.20110439999999999</v>
      </c>
      <c r="J366" s="10">
        <f t="shared" si="63"/>
        <v>0.20110439999999999</v>
      </c>
      <c r="K366" s="10" t="str">
        <f t="shared" si="64"/>
        <v/>
      </c>
      <c r="L366" s="9">
        <f t="shared" si="65"/>
        <v>0.79889560000000004</v>
      </c>
      <c r="M366" s="9">
        <f t="shared" si="66"/>
        <v>0.79889560000000004</v>
      </c>
      <c r="N366" s="9" t="str">
        <f t="shared" si="67"/>
        <v/>
      </c>
      <c r="O366" s="4" t="s">
        <v>755</v>
      </c>
      <c r="Q366" s="7"/>
      <c r="R366" s="7" t="s">
        <v>778</v>
      </c>
      <c r="S366" s="8" t="s">
        <v>779</v>
      </c>
      <c r="T366" s="7"/>
      <c r="U366" t="str">
        <f t="shared" si="68"/>
        <v/>
      </c>
      <c r="V366" t="str">
        <f t="shared" si="69"/>
        <v/>
      </c>
      <c r="W366" t="str">
        <f t="shared" si="70"/>
        <v/>
      </c>
      <c r="X366" t="str">
        <f t="shared" si="71"/>
        <v/>
      </c>
      <c r="Y366" t="e">
        <f>VLOOKUP($A366,Runs!$G:$G,1,FALSE)</f>
        <v>#N/A</v>
      </c>
    </row>
    <row r="367" spans="1:25" ht="22.5" customHeight="1" x14ac:dyDescent="0.25">
      <c r="A367" s="2" t="s">
        <v>20</v>
      </c>
      <c r="B367" s="2" t="s">
        <v>21</v>
      </c>
      <c r="C367" s="3">
        <v>0.21099999999999999</v>
      </c>
      <c r="D367" s="6" t="s">
        <v>2</v>
      </c>
      <c r="E367">
        <f>(30-C367*100)*VLOOKUP($D367,Calc!$A$1:$C$6,3,FALSE)</f>
        <v>4.4500000000000011</v>
      </c>
      <c r="F367" s="6">
        <f>VLOOKUP(D367,Calc!$A$1:$B$6,2,FALSE)</f>
        <v>1</v>
      </c>
      <c r="G367" s="10">
        <f t="shared" si="60"/>
        <v>0.21109999999999998</v>
      </c>
      <c r="H367" s="9">
        <f t="shared" si="61"/>
        <v>7.9999999999999996E-6</v>
      </c>
      <c r="I367" s="10">
        <f t="shared" si="62"/>
        <v>0.21110079999999998</v>
      </c>
      <c r="J367" s="10">
        <f t="shared" si="63"/>
        <v>0.21110079999999998</v>
      </c>
      <c r="K367" s="10" t="str">
        <f t="shared" si="64"/>
        <v/>
      </c>
      <c r="L367" s="9">
        <f t="shared" si="65"/>
        <v>0.78889920000000002</v>
      </c>
      <c r="M367" s="9">
        <f t="shared" si="66"/>
        <v>0.78889920000000002</v>
      </c>
      <c r="N367" s="9" t="str">
        <f t="shared" si="67"/>
        <v/>
      </c>
      <c r="O367" s="4" t="s">
        <v>755</v>
      </c>
      <c r="Q367" s="7"/>
      <c r="R367" s="7" t="s">
        <v>795</v>
      </c>
      <c r="S367" s="8" t="s">
        <v>796</v>
      </c>
      <c r="T367" s="7"/>
      <c r="U367" t="str">
        <f t="shared" si="68"/>
        <v/>
      </c>
      <c r="V367" t="str">
        <f t="shared" si="69"/>
        <v/>
      </c>
      <c r="W367" t="str">
        <f t="shared" si="70"/>
        <v/>
      </c>
      <c r="X367" t="str">
        <f t="shared" si="71"/>
        <v/>
      </c>
      <c r="Y367" t="e">
        <f>VLOOKUP($A367,Runs!$G:$G,1,FALSE)</f>
        <v>#N/A</v>
      </c>
    </row>
    <row r="368" spans="1:25" ht="22.5" customHeight="1" x14ac:dyDescent="0.25">
      <c r="A368" s="2" t="s">
        <v>55</v>
      </c>
      <c r="B368" s="2" t="s">
        <v>56</v>
      </c>
      <c r="C368" s="3">
        <v>0.23599999999999999</v>
      </c>
      <c r="D368" s="6" t="s">
        <v>2</v>
      </c>
      <c r="E368">
        <f>(30-C368*100)*VLOOKUP($D368,Calc!$A$1:$C$6,3,FALSE)</f>
        <v>3.2000000000000011</v>
      </c>
      <c r="F368" s="6">
        <f>VLOOKUP(D368,Calc!$A$1:$B$6,2,FALSE)</f>
        <v>1</v>
      </c>
      <c r="G368" s="10">
        <f t="shared" si="60"/>
        <v>0.23609999999999998</v>
      </c>
      <c r="H368" s="9">
        <f t="shared" si="61"/>
        <v>1.2E-5</v>
      </c>
      <c r="I368" s="10">
        <f t="shared" si="62"/>
        <v>0.23610119999999998</v>
      </c>
      <c r="J368" s="10">
        <f t="shared" si="63"/>
        <v>0.23610119999999998</v>
      </c>
      <c r="K368" s="10" t="str">
        <f t="shared" si="64"/>
        <v/>
      </c>
      <c r="L368" s="9">
        <f t="shared" si="65"/>
        <v>0.76389879999999999</v>
      </c>
      <c r="M368" s="9">
        <f t="shared" si="66"/>
        <v>0.76389879999999999</v>
      </c>
      <c r="N368" s="9" t="str">
        <f t="shared" si="67"/>
        <v/>
      </c>
      <c r="O368" s="4" t="s">
        <v>755</v>
      </c>
      <c r="Q368" s="7" t="s">
        <v>842</v>
      </c>
      <c r="R368" s="8" t="s">
        <v>843</v>
      </c>
      <c r="S368" s="7"/>
      <c r="T368" s="7"/>
      <c r="U368" t="str">
        <f t="shared" si="68"/>
        <v/>
      </c>
      <c r="V368" t="str">
        <f t="shared" si="69"/>
        <v/>
      </c>
      <c r="W368" t="str">
        <f t="shared" si="70"/>
        <v/>
      </c>
      <c r="X368" t="str">
        <f t="shared" si="71"/>
        <v/>
      </c>
      <c r="Y368" t="e">
        <f>VLOOKUP($A368,Runs!$G:$G,1,FALSE)</f>
        <v>#N/A</v>
      </c>
    </row>
    <row r="369" spans="1:25" ht="22.5" customHeight="1" x14ac:dyDescent="0.25">
      <c r="A369" s="2" t="s">
        <v>46</v>
      </c>
      <c r="B369" s="2" t="s">
        <v>47</v>
      </c>
      <c r="C369" s="3">
        <v>0.23799999999999999</v>
      </c>
      <c r="D369" s="6" t="s">
        <v>2</v>
      </c>
      <c r="E369">
        <f>(30-C369*100)*VLOOKUP($D369,Calc!$A$1:$C$6,3,FALSE)</f>
        <v>3.1000000000000014</v>
      </c>
      <c r="F369" s="6">
        <f>VLOOKUP(D369,Calc!$A$1:$B$6,2,FALSE)</f>
        <v>1</v>
      </c>
      <c r="G369" s="10">
        <f t="shared" si="60"/>
        <v>0.23809999999999998</v>
      </c>
      <c r="H369" s="9">
        <f t="shared" si="61"/>
        <v>1.18E-4</v>
      </c>
      <c r="I369" s="10">
        <f t="shared" si="62"/>
        <v>0.23811179999999998</v>
      </c>
      <c r="J369" s="10">
        <f t="shared" si="63"/>
        <v>0.23811179999999998</v>
      </c>
      <c r="K369" s="10" t="str">
        <f t="shared" si="64"/>
        <v/>
      </c>
      <c r="L369" s="9">
        <f t="shared" si="65"/>
        <v>0.76188820000000002</v>
      </c>
      <c r="M369" s="9">
        <f t="shared" si="66"/>
        <v>0.76188820000000002</v>
      </c>
      <c r="N369" s="9" t="str">
        <f t="shared" si="67"/>
        <v/>
      </c>
      <c r="O369" s="4" t="s">
        <v>755</v>
      </c>
      <c r="Q369" s="7"/>
      <c r="R369" s="8" t="s">
        <v>833</v>
      </c>
      <c r="S369" s="7"/>
      <c r="T369" s="7"/>
      <c r="U369" t="str">
        <f t="shared" si="68"/>
        <v/>
      </c>
      <c r="V369" t="str">
        <f t="shared" si="69"/>
        <v/>
      </c>
      <c r="W369" t="str">
        <f t="shared" si="70"/>
        <v/>
      </c>
      <c r="X369" t="str">
        <f t="shared" si="71"/>
        <v/>
      </c>
      <c r="Y369" t="e">
        <f>VLOOKUP($A369,Runs!$G:$G,1,FALSE)</f>
        <v>#N/A</v>
      </c>
    </row>
    <row r="370" spans="1:25" ht="22.5" customHeight="1" x14ac:dyDescent="0.25">
      <c r="A370" s="2" t="s">
        <v>79</v>
      </c>
      <c r="B370" s="2" t="s">
        <v>80</v>
      </c>
      <c r="C370" s="3">
        <v>0.23799999999999999</v>
      </c>
      <c r="D370" s="6" t="s">
        <v>2</v>
      </c>
      <c r="E370">
        <f>(30-C370*100)*VLOOKUP($D370,Calc!$A$1:$C$6,3,FALSE)</f>
        <v>3.1000000000000014</v>
      </c>
      <c r="F370" s="6">
        <f>VLOOKUP(D370,Calc!$A$1:$B$6,2,FALSE)</f>
        <v>1</v>
      </c>
      <c r="G370" s="10">
        <f t="shared" si="60"/>
        <v>0.23809999999999998</v>
      </c>
      <c r="H370" s="9">
        <f t="shared" si="61"/>
        <v>1.05E-4</v>
      </c>
      <c r="I370" s="10">
        <f t="shared" si="62"/>
        <v>0.23811049999999997</v>
      </c>
      <c r="J370" s="10">
        <f t="shared" si="63"/>
        <v>0.23811049999999997</v>
      </c>
      <c r="K370" s="10" t="str">
        <f t="shared" si="64"/>
        <v/>
      </c>
      <c r="L370" s="9">
        <f t="shared" si="65"/>
        <v>0.7618895</v>
      </c>
      <c r="M370" s="9">
        <f t="shared" si="66"/>
        <v>0.7618895</v>
      </c>
      <c r="N370" s="9" t="str">
        <f t="shared" si="67"/>
        <v/>
      </c>
      <c r="O370" s="4" t="s">
        <v>755</v>
      </c>
      <c r="Q370" s="7"/>
      <c r="R370" s="8" t="s">
        <v>901</v>
      </c>
      <c r="S370" s="7"/>
      <c r="T370" s="7"/>
      <c r="U370" t="str">
        <f t="shared" si="68"/>
        <v/>
      </c>
      <c r="V370" t="str">
        <f t="shared" si="69"/>
        <v/>
      </c>
      <c r="W370" t="str">
        <f t="shared" si="70"/>
        <v/>
      </c>
      <c r="X370" t="str">
        <f t="shared" si="71"/>
        <v/>
      </c>
      <c r="Y370" t="e">
        <f>VLOOKUP($A370,Runs!$G:$G,1,FALSE)</f>
        <v>#N/A</v>
      </c>
    </row>
    <row r="371" spans="1:25" ht="22.5" customHeight="1" x14ac:dyDescent="0.25">
      <c r="A371" s="2" t="s">
        <v>51</v>
      </c>
      <c r="B371" s="2" t="s">
        <v>52</v>
      </c>
      <c r="C371" s="3">
        <v>0.27</v>
      </c>
      <c r="D371" s="6" t="s">
        <v>2</v>
      </c>
      <c r="E371">
        <f>(30-C371*100)*VLOOKUP($D371,Calc!$A$1:$C$6,3,FALSE)</f>
        <v>1.5</v>
      </c>
      <c r="F371" s="6">
        <f>VLOOKUP(D371,Calc!$A$1:$B$6,2,FALSE)</f>
        <v>1</v>
      </c>
      <c r="G371" s="10">
        <f t="shared" si="60"/>
        <v>0.27010000000000001</v>
      </c>
      <c r="H371" s="9">
        <f t="shared" si="61"/>
        <v>1.2999999999999999E-5</v>
      </c>
      <c r="I371" s="10">
        <f t="shared" si="62"/>
        <v>0.27010129999999999</v>
      </c>
      <c r="J371" s="10">
        <f t="shared" si="63"/>
        <v>0.27010129999999999</v>
      </c>
      <c r="K371" s="10" t="str">
        <f t="shared" si="64"/>
        <v/>
      </c>
      <c r="L371" s="9">
        <f t="shared" si="65"/>
        <v>0.72989870000000001</v>
      </c>
      <c r="M371" s="9">
        <f t="shared" si="66"/>
        <v>0.72989870000000001</v>
      </c>
      <c r="N371" s="9" t="str">
        <f t="shared" si="67"/>
        <v/>
      </c>
      <c r="O371" s="4" t="s">
        <v>755</v>
      </c>
      <c r="Q371" s="7"/>
      <c r="R371" s="8" t="s">
        <v>838</v>
      </c>
      <c r="S371" s="7"/>
      <c r="T371" s="7"/>
      <c r="U371" t="str">
        <f t="shared" si="68"/>
        <v/>
      </c>
      <c r="V371" t="str">
        <f t="shared" si="69"/>
        <v/>
      </c>
      <c r="W371" t="str">
        <f t="shared" si="70"/>
        <v/>
      </c>
      <c r="X371" t="str">
        <f t="shared" si="71"/>
        <v/>
      </c>
      <c r="Y371" t="e">
        <f>VLOOKUP($A371,Runs!$G:$G,1,FALSE)</f>
        <v>#N/A</v>
      </c>
    </row>
    <row r="372" spans="1:25" ht="22.5" customHeight="1" x14ac:dyDescent="0.25">
      <c r="A372" s="2" t="s">
        <v>53</v>
      </c>
      <c r="B372" s="2" t="s">
        <v>54</v>
      </c>
      <c r="C372" s="3">
        <v>0.27300000000000002</v>
      </c>
      <c r="D372" s="6" t="s">
        <v>2</v>
      </c>
      <c r="E372">
        <f>(30-C372*100)*VLOOKUP($D372,Calc!$A$1:$C$6,3,FALSE)</f>
        <v>1.3499999999999996</v>
      </c>
      <c r="F372" s="6">
        <f>VLOOKUP(D372,Calc!$A$1:$B$6,2,FALSE)</f>
        <v>1</v>
      </c>
      <c r="G372" s="10">
        <f t="shared" si="60"/>
        <v>0.27310000000000001</v>
      </c>
      <c r="H372" s="9">
        <f t="shared" si="61"/>
        <v>1.2E-5</v>
      </c>
      <c r="I372" s="10">
        <f t="shared" si="62"/>
        <v>0.27310119999999999</v>
      </c>
      <c r="J372" s="10">
        <f t="shared" si="63"/>
        <v>0.27310119999999999</v>
      </c>
      <c r="K372" s="10" t="str">
        <f t="shared" si="64"/>
        <v/>
      </c>
      <c r="L372" s="9">
        <f t="shared" si="65"/>
        <v>0.72689880000000007</v>
      </c>
      <c r="M372" s="9">
        <f t="shared" si="66"/>
        <v>0.72689880000000007</v>
      </c>
      <c r="N372" s="9" t="str">
        <f t="shared" si="67"/>
        <v/>
      </c>
      <c r="O372" s="4" t="s">
        <v>755</v>
      </c>
      <c r="Q372" s="7" t="s">
        <v>839</v>
      </c>
      <c r="R372" s="7" t="s">
        <v>840</v>
      </c>
      <c r="S372" s="8" t="s">
        <v>841</v>
      </c>
      <c r="T372" s="7"/>
      <c r="U372" t="str">
        <f t="shared" si="68"/>
        <v/>
      </c>
      <c r="V372" t="str">
        <f t="shared" si="69"/>
        <v/>
      </c>
      <c r="W372" t="str">
        <f t="shared" si="70"/>
        <v/>
      </c>
      <c r="X372" t="str">
        <f t="shared" si="71"/>
        <v/>
      </c>
      <c r="Y372" t="e">
        <f>VLOOKUP($A372,Runs!$G:$G,1,FALSE)</f>
        <v>#N/A</v>
      </c>
    </row>
    <row r="373" spans="1:25" ht="22.5" customHeight="1" x14ac:dyDescent="0.25">
      <c r="A373" s="2" t="s">
        <v>73</v>
      </c>
      <c r="B373" s="2" t="s">
        <v>74</v>
      </c>
      <c r="C373" s="3">
        <v>0.27400000000000002</v>
      </c>
      <c r="D373" s="6" t="s">
        <v>2</v>
      </c>
      <c r="E373">
        <f>(30-C373*100)*VLOOKUP($D373,Calc!$A$1:$C$6,3,FALSE)</f>
        <v>1.2999999999999989</v>
      </c>
      <c r="F373" s="6">
        <f>VLOOKUP(D373,Calc!$A$1:$B$6,2,FALSE)</f>
        <v>1</v>
      </c>
      <c r="G373" s="10">
        <f t="shared" si="60"/>
        <v>0.27410000000000001</v>
      </c>
      <c r="H373" s="9">
        <f t="shared" si="61"/>
        <v>1.11E-4</v>
      </c>
      <c r="I373" s="10">
        <f t="shared" si="62"/>
        <v>0.2741111</v>
      </c>
      <c r="J373" s="10">
        <f t="shared" si="63"/>
        <v>0.2741111</v>
      </c>
      <c r="K373" s="10" t="str">
        <f t="shared" si="64"/>
        <v/>
      </c>
      <c r="L373" s="9">
        <f t="shared" si="65"/>
        <v>0.72588889999999995</v>
      </c>
      <c r="M373" s="9">
        <f t="shared" si="66"/>
        <v>0.72588889999999995</v>
      </c>
      <c r="N373" s="9" t="str">
        <f t="shared" si="67"/>
        <v/>
      </c>
      <c r="O373" s="4" t="s">
        <v>755</v>
      </c>
      <c r="Q373" s="7"/>
      <c r="R373" s="7" t="s">
        <v>864</v>
      </c>
      <c r="S373" s="8" t="s">
        <v>865</v>
      </c>
      <c r="T373" s="7"/>
      <c r="U373" t="str">
        <f t="shared" si="68"/>
        <v/>
      </c>
      <c r="V373" t="str">
        <f t="shared" si="69"/>
        <v/>
      </c>
      <c r="W373" t="str">
        <f t="shared" si="70"/>
        <v/>
      </c>
      <c r="X373" t="str">
        <f t="shared" si="71"/>
        <v/>
      </c>
      <c r="Y373" t="e">
        <f>VLOOKUP($A373,Runs!$G:$G,1,FALSE)</f>
        <v>#N/A</v>
      </c>
    </row>
    <row r="374" spans="1:25" ht="22.5" customHeight="1" x14ac:dyDescent="0.25">
      <c r="A374" s="2" t="s">
        <v>71</v>
      </c>
      <c r="B374" s="2" t="s">
        <v>72</v>
      </c>
      <c r="C374" s="3">
        <v>0.28799999999999998</v>
      </c>
      <c r="D374" s="6" t="s">
        <v>2</v>
      </c>
      <c r="E374">
        <f>(30-C374*100)*VLOOKUP($D374,Calc!$A$1:$C$6,3,FALSE)</f>
        <v>0.60000000000000142</v>
      </c>
      <c r="F374" s="6">
        <f>VLOOKUP(D374,Calc!$A$1:$B$6,2,FALSE)</f>
        <v>1</v>
      </c>
      <c r="G374" s="10">
        <f t="shared" si="60"/>
        <v>0.28809999999999997</v>
      </c>
      <c r="H374" s="9">
        <f t="shared" si="61"/>
        <v>5.3000000000000001E-5</v>
      </c>
      <c r="I374" s="10">
        <f t="shared" si="62"/>
        <v>0.28810529999999995</v>
      </c>
      <c r="J374" s="10">
        <f t="shared" si="63"/>
        <v>0.28810529999999995</v>
      </c>
      <c r="K374" s="10" t="str">
        <f t="shared" si="64"/>
        <v/>
      </c>
      <c r="L374" s="9">
        <f t="shared" si="65"/>
        <v>0.71189469999999999</v>
      </c>
      <c r="M374" s="9">
        <f t="shared" si="66"/>
        <v>0.71189469999999999</v>
      </c>
      <c r="N374" s="9" t="str">
        <f t="shared" si="67"/>
        <v/>
      </c>
      <c r="O374" s="4" t="s">
        <v>755</v>
      </c>
      <c r="Q374" s="7" t="s">
        <v>861</v>
      </c>
      <c r="R374" s="7" t="s">
        <v>862</v>
      </c>
      <c r="S374" s="8" t="s">
        <v>863</v>
      </c>
      <c r="T374" s="7"/>
      <c r="U374" t="str">
        <f t="shared" si="68"/>
        <v/>
      </c>
      <c r="V374" t="str">
        <f t="shared" si="69"/>
        <v/>
      </c>
      <c r="W374" t="str">
        <f t="shared" si="70"/>
        <v/>
      </c>
      <c r="X374" t="str">
        <f t="shared" si="71"/>
        <v/>
      </c>
      <c r="Y374" t="e">
        <f>VLOOKUP($A374,Runs!$G:$G,1,FALSE)</f>
        <v>#N/A</v>
      </c>
    </row>
  </sheetData>
  <autoFilter ref="A1:Y374" xr:uid="{12CD01ED-E44C-4881-8F38-D7195B5D6C0E}"/>
  <phoneticPr fontId="4" type="noConversion"/>
  <conditionalFormatting sqref="A1:A1048576">
    <cfRule type="expression" dxfId="393" priority="379">
      <formula>O1="Y"</formula>
    </cfRule>
  </conditionalFormatting>
  <conditionalFormatting sqref="B1:D1048576">
    <cfRule type="expression" dxfId="392" priority="40">
      <formula>O1="Y"</formula>
    </cfRule>
  </conditionalFormatting>
  <conditionalFormatting sqref="C1:D1048576">
    <cfRule type="expression" dxfId="391" priority="41">
      <formula>O1="Y"</formula>
    </cfRule>
  </conditionalFormatting>
  <conditionalFormatting sqref="D1:D1048576 F1:N1048576">
    <cfRule type="cellIs" dxfId="390" priority="31" operator="equal">
      <formula>"I"</formula>
    </cfRule>
    <cfRule type="cellIs" dxfId="389" priority="32" operator="equal">
      <formula>"VH"</formula>
    </cfRule>
    <cfRule type="cellIs" dxfId="388" priority="33" operator="equal">
      <formula>"H"</formula>
    </cfRule>
    <cfRule type="cellIs" dxfId="387" priority="34" operator="equal">
      <formula>"M"</formula>
    </cfRule>
    <cfRule type="cellIs" dxfId="386" priority="35" operator="equal">
      <formula>"E"</formula>
    </cfRule>
    <cfRule type="cellIs" dxfId="385" priority="36" operator="equal">
      <formula>"VE"</formula>
    </cfRule>
  </conditionalFormatting>
  <conditionalFormatting sqref="E1:E1048576">
    <cfRule type="expression" dxfId="384" priority="7">
      <formula>O1="Y"</formula>
    </cfRule>
  </conditionalFormatting>
  <conditionalFormatting sqref="O1:O1048576">
    <cfRule type="cellIs" dxfId="383" priority="27" operator="equal">
      <formula>"Y"</formula>
    </cfRule>
  </conditionalFormatting>
  <conditionalFormatting sqref="P1:P1048576">
    <cfRule type="expression" dxfId="382" priority="26">
      <formula>O1="Y"</formula>
    </cfRule>
  </conditionalFormatting>
  <conditionalFormatting sqref="Q1:Q1048576">
    <cfRule type="expression" dxfId="381" priority="25">
      <formula>O1="Y"</formula>
    </cfRule>
  </conditionalFormatting>
  <conditionalFormatting sqref="R1:R1048576">
    <cfRule type="expression" dxfId="380" priority="24">
      <formula>O1="Y"</formula>
    </cfRule>
  </conditionalFormatting>
  <conditionalFormatting sqref="S1:S1048576">
    <cfRule type="expression" dxfId="379" priority="23">
      <formula>O1="Y"</formula>
    </cfRule>
  </conditionalFormatting>
  <conditionalFormatting sqref="T1:T1048576">
    <cfRule type="expression" dxfId="378" priority="22">
      <formula>O1="Y"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CCB4E-C812-42E5-BA87-3FBA0B83A629}">
  <dimension ref="A1:F116"/>
  <sheetViews>
    <sheetView topLeftCell="A26" workbookViewId="0">
      <selection activeCell="B81" sqref="B81"/>
    </sheetView>
  </sheetViews>
  <sheetFormatPr defaultRowHeight="15" x14ac:dyDescent="0.25"/>
  <cols>
    <col min="1" max="1" width="22" style="35" bestFit="1" customWidth="1"/>
    <col min="2" max="2" width="22" style="1" customWidth="1"/>
    <col min="3" max="3" width="28.7109375" bestFit="1" customWidth="1"/>
    <col min="4" max="4" width="112.42578125" customWidth="1"/>
    <col min="5" max="5" width="24.7109375" customWidth="1"/>
    <col min="6" max="6" width="125.42578125" customWidth="1"/>
  </cols>
  <sheetData>
    <row r="1" spans="1:6" x14ac:dyDescent="0.25">
      <c r="A1" s="33" t="s">
        <v>1747</v>
      </c>
      <c r="B1" s="34" t="s">
        <v>1818</v>
      </c>
      <c r="C1" s="32" t="s">
        <v>1819</v>
      </c>
      <c r="D1" s="32" t="s">
        <v>1820</v>
      </c>
      <c r="E1" s="32" t="s">
        <v>1821</v>
      </c>
      <c r="F1" s="32" t="s">
        <v>1820</v>
      </c>
    </row>
    <row r="2" spans="1:6" x14ac:dyDescent="0.25">
      <c r="A2" s="35" t="s">
        <v>1713</v>
      </c>
      <c r="B2" s="4" t="s">
        <v>1822</v>
      </c>
      <c r="C2" s="2"/>
    </row>
    <row r="3" spans="1:6" x14ac:dyDescent="0.25">
      <c r="A3" s="35" t="s">
        <v>1714</v>
      </c>
      <c r="B3" s="4" t="s">
        <v>1822</v>
      </c>
      <c r="E3" s="2" t="s">
        <v>558</v>
      </c>
      <c r="F3" s="2" t="s">
        <v>559</v>
      </c>
    </row>
    <row r="4" spans="1:6" x14ac:dyDescent="0.25">
      <c r="A4" s="35" t="s">
        <v>1715</v>
      </c>
      <c r="B4" s="4" t="s">
        <v>1822</v>
      </c>
    </row>
    <row r="5" spans="1:6" x14ac:dyDescent="0.25">
      <c r="A5" s="35" t="s">
        <v>1748</v>
      </c>
      <c r="B5" s="4" t="s">
        <v>1823</v>
      </c>
    </row>
    <row r="6" spans="1:6" x14ac:dyDescent="0.25">
      <c r="A6" s="35" t="s">
        <v>1716</v>
      </c>
      <c r="B6" s="4" t="s">
        <v>1822</v>
      </c>
    </row>
    <row r="7" spans="1:6" x14ac:dyDescent="0.25">
      <c r="A7" s="35" t="s">
        <v>1749</v>
      </c>
      <c r="B7" s="4" t="s">
        <v>1823</v>
      </c>
    </row>
    <row r="8" spans="1:6" x14ac:dyDescent="0.25">
      <c r="A8" s="35" t="s">
        <v>1717</v>
      </c>
      <c r="B8" s="4" t="s">
        <v>1822</v>
      </c>
      <c r="E8" s="2" t="s">
        <v>456</v>
      </c>
      <c r="F8" s="2" t="s">
        <v>457</v>
      </c>
    </row>
    <row r="9" spans="1:6" x14ac:dyDescent="0.25">
      <c r="A9" s="35" t="s">
        <v>1675</v>
      </c>
      <c r="B9" s="4" t="s">
        <v>1823</v>
      </c>
      <c r="E9" s="2" t="s">
        <v>566</v>
      </c>
      <c r="F9" s="2" t="s">
        <v>1824</v>
      </c>
    </row>
    <row r="10" spans="1:6" x14ac:dyDescent="0.25">
      <c r="A10" s="35" t="s">
        <v>1750</v>
      </c>
      <c r="B10" s="4" t="s">
        <v>1823</v>
      </c>
      <c r="E10" s="2" t="s">
        <v>511</v>
      </c>
      <c r="F10" s="2" t="s">
        <v>512</v>
      </c>
    </row>
    <row r="11" spans="1:6" x14ac:dyDescent="0.25">
      <c r="A11" s="35" t="s">
        <v>1718</v>
      </c>
      <c r="B11" s="4" t="s">
        <v>1822</v>
      </c>
    </row>
    <row r="12" spans="1:6" x14ac:dyDescent="0.25">
      <c r="A12" s="35" t="s">
        <v>1719</v>
      </c>
      <c r="B12" s="4" t="s">
        <v>1822</v>
      </c>
    </row>
    <row r="13" spans="1:6" x14ac:dyDescent="0.25">
      <c r="A13" s="35" t="s">
        <v>1751</v>
      </c>
      <c r="B13" s="4" t="s">
        <v>1823</v>
      </c>
    </row>
    <row r="14" spans="1:6" x14ac:dyDescent="0.25">
      <c r="A14" s="35" t="s">
        <v>1752</v>
      </c>
      <c r="B14" s="4" t="s">
        <v>1823</v>
      </c>
    </row>
    <row r="15" spans="1:6" x14ac:dyDescent="0.25">
      <c r="A15" s="35" t="s">
        <v>1689</v>
      </c>
      <c r="B15" s="4" t="s">
        <v>1822</v>
      </c>
    </row>
    <row r="16" spans="1:6" x14ac:dyDescent="0.25">
      <c r="A16" s="35" t="s">
        <v>1720</v>
      </c>
      <c r="B16" s="4" t="s">
        <v>1822</v>
      </c>
    </row>
    <row r="17" spans="1:6" x14ac:dyDescent="0.25">
      <c r="A17" s="35" t="s">
        <v>1721</v>
      </c>
      <c r="B17" s="4" t="s">
        <v>1822</v>
      </c>
      <c r="E17" s="2" t="s">
        <v>368</v>
      </c>
      <c r="F17" s="2" t="s">
        <v>369</v>
      </c>
    </row>
    <row r="18" spans="1:6" x14ac:dyDescent="0.25">
      <c r="A18" s="35" t="s">
        <v>1753</v>
      </c>
      <c r="B18" s="4" t="s">
        <v>1823</v>
      </c>
      <c r="C18" s="2" t="s">
        <v>36</v>
      </c>
      <c r="D18" s="2" t="s">
        <v>37</v>
      </c>
    </row>
    <row r="19" spans="1:6" x14ac:dyDescent="0.25">
      <c r="A19" s="35" t="s">
        <v>1754</v>
      </c>
      <c r="B19" s="4" t="s">
        <v>1823</v>
      </c>
      <c r="E19" s="2" t="s">
        <v>248</v>
      </c>
      <c r="F19" s="2" t="s">
        <v>249</v>
      </c>
    </row>
    <row r="20" spans="1:6" x14ac:dyDescent="0.25">
      <c r="A20" s="35" t="s">
        <v>1755</v>
      </c>
      <c r="B20" s="4" t="s">
        <v>1823</v>
      </c>
    </row>
    <row r="21" spans="1:6" x14ac:dyDescent="0.25">
      <c r="A21" s="35" t="s">
        <v>1756</v>
      </c>
      <c r="B21" s="4" t="s">
        <v>1823</v>
      </c>
    </row>
    <row r="22" spans="1:6" x14ac:dyDescent="0.25">
      <c r="A22" s="35" t="s">
        <v>1757</v>
      </c>
      <c r="B22" s="4" t="s">
        <v>1823</v>
      </c>
      <c r="E22" s="2" t="s">
        <v>466</v>
      </c>
      <c r="F22" s="2" t="s">
        <v>467</v>
      </c>
    </row>
    <row r="23" spans="1:6" ht="38.25" x14ac:dyDescent="0.25">
      <c r="A23" s="35" t="s">
        <v>1758</v>
      </c>
      <c r="B23" s="4" t="s">
        <v>1823</v>
      </c>
      <c r="E23" s="2" t="s">
        <v>1909</v>
      </c>
      <c r="F23" s="2" t="s">
        <v>1910</v>
      </c>
    </row>
    <row r="24" spans="1:6" x14ac:dyDescent="0.25">
      <c r="A24" s="35" t="s">
        <v>1759</v>
      </c>
      <c r="B24" s="4" t="s">
        <v>1823</v>
      </c>
    </row>
    <row r="25" spans="1:6" x14ac:dyDescent="0.25">
      <c r="A25" s="35" t="s">
        <v>1684</v>
      </c>
      <c r="B25" s="4" t="s">
        <v>1823</v>
      </c>
      <c r="E25" s="2" t="s">
        <v>386</v>
      </c>
      <c r="F25" s="2" t="s">
        <v>1825</v>
      </c>
    </row>
    <row r="26" spans="1:6" x14ac:dyDescent="0.25">
      <c r="A26" s="35" t="s">
        <v>1722</v>
      </c>
      <c r="B26" s="4" t="s">
        <v>1822</v>
      </c>
      <c r="E26" s="2" t="s">
        <v>606</v>
      </c>
      <c r="F26" s="2" t="s">
        <v>607</v>
      </c>
    </row>
    <row r="27" spans="1:6" x14ac:dyDescent="0.25">
      <c r="A27" s="35" t="s">
        <v>1826</v>
      </c>
      <c r="B27" s="4" t="s">
        <v>1822</v>
      </c>
      <c r="E27" s="2" t="s">
        <v>505</v>
      </c>
      <c r="F27" s="2" t="s">
        <v>1827</v>
      </c>
    </row>
    <row r="28" spans="1:6" x14ac:dyDescent="0.25">
      <c r="A28" s="35" t="s">
        <v>1676</v>
      </c>
      <c r="B28" s="4" t="s">
        <v>1822</v>
      </c>
    </row>
    <row r="29" spans="1:6" x14ac:dyDescent="0.25">
      <c r="A29" s="35" t="s">
        <v>1760</v>
      </c>
      <c r="B29" s="4" t="s">
        <v>1823</v>
      </c>
    </row>
    <row r="30" spans="1:6" x14ac:dyDescent="0.25">
      <c r="A30" s="35" t="s">
        <v>756</v>
      </c>
      <c r="B30" s="4" t="s">
        <v>1823</v>
      </c>
      <c r="C30" s="2" t="s">
        <v>621</v>
      </c>
      <c r="D30" s="2" t="s">
        <v>1828</v>
      </c>
    </row>
    <row r="31" spans="1:6" x14ac:dyDescent="0.25">
      <c r="A31" s="35" t="s">
        <v>1723</v>
      </c>
      <c r="B31" s="4" t="s">
        <v>1822</v>
      </c>
      <c r="C31" s="2" t="s">
        <v>404</v>
      </c>
      <c r="D31" s="2" t="s">
        <v>1829</v>
      </c>
    </row>
    <row r="32" spans="1:6" x14ac:dyDescent="0.25">
      <c r="A32" s="35" t="s">
        <v>1761</v>
      </c>
      <c r="B32" s="4" t="s">
        <v>1823</v>
      </c>
    </row>
    <row r="33" spans="1:6" x14ac:dyDescent="0.25">
      <c r="A33" s="35" t="s">
        <v>1724</v>
      </c>
      <c r="B33" s="4" t="s">
        <v>1822</v>
      </c>
    </row>
    <row r="34" spans="1:6" x14ac:dyDescent="0.25">
      <c r="A34" s="35" t="s">
        <v>289</v>
      </c>
      <c r="B34" s="4" t="s">
        <v>1823</v>
      </c>
      <c r="E34" s="2" t="s">
        <v>289</v>
      </c>
      <c r="F34" s="2" t="s">
        <v>290</v>
      </c>
    </row>
    <row r="35" spans="1:6" x14ac:dyDescent="0.25">
      <c r="A35" s="35" t="s">
        <v>1762</v>
      </c>
      <c r="B35" s="4" t="s">
        <v>1823</v>
      </c>
    </row>
    <row r="36" spans="1:6" x14ac:dyDescent="0.25">
      <c r="A36" s="35" t="s">
        <v>1763</v>
      </c>
      <c r="B36" s="4" t="s">
        <v>1823</v>
      </c>
    </row>
    <row r="37" spans="1:6" x14ac:dyDescent="0.25">
      <c r="A37" s="35" t="s">
        <v>1764</v>
      </c>
      <c r="B37" s="4" t="s">
        <v>1823</v>
      </c>
    </row>
    <row r="38" spans="1:6" x14ac:dyDescent="0.25">
      <c r="A38" s="35" t="s">
        <v>1765</v>
      </c>
      <c r="B38" s="4" t="s">
        <v>1823</v>
      </c>
    </row>
    <row r="39" spans="1:6" x14ac:dyDescent="0.25">
      <c r="A39" s="35" t="s">
        <v>1725</v>
      </c>
      <c r="B39" s="4" t="s">
        <v>1822</v>
      </c>
    </row>
    <row r="40" spans="1:6" x14ac:dyDescent="0.25">
      <c r="A40" s="35" t="s">
        <v>1726</v>
      </c>
      <c r="B40" s="4" t="s">
        <v>1822</v>
      </c>
    </row>
    <row r="41" spans="1:6" x14ac:dyDescent="0.25">
      <c r="A41" s="35" t="s">
        <v>1710</v>
      </c>
      <c r="B41" s="4" t="s">
        <v>1823</v>
      </c>
    </row>
    <row r="42" spans="1:6" x14ac:dyDescent="0.25">
      <c r="A42" s="35" t="s">
        <v>1766</v>
      </c>
      <c r="B42" s="4" t="s">
        <v>1823</v>
      </c>
    </row>
    <row r="43" spans="1:6" x14ac:dyDescent="0.25">
      <c r="A43" s="35" t="s">
        <v>1767</v>
      </c>
      <c r="B43" s="4" t="s">
        <v>1823</v>
      </c>
    </row>
    <row r="44" spans="1:6" ht="30" x14ac:dyDescent="0.25">
      <c r="A44" s="35" t="s">
        <v>1768</v>
      </c>
      <c r="B44" s="4" t="s">
        <v>1823</v>
      </c>
      <c r="C44" s="2" t="s">
        <v>1830</v>
      </c>
      <c r="D44" s="36" t="s">
        <v>1831</v>
      </c>
      <c r="E44" s="2" t="s">
        <v>619</v>
      </c>
      <c r="F44" s="2" t="s">
        <v>1832</v>
      </c>
    </row>
    <row r="45" spans="1:6" x14ac:dyDescent="0.25">
      <c r="A45" s="35" t="s">
        <v>1769</v>
      </c>
      <c r="B45" s="4" t="s">
        <v>1823</v>
      </c>
    </row>
    <row r="46" spans="1:6" x14ac:dyDescent="0.25">
      <c r="A46" s="35" t="s">
        <v>1770</v>
      </c>
      <c r="B46" s="4" t="s">
        <v>1823</v>
      </c>
    </row>
    <row r="47" spans="1:6" x14ac:dyDescent="0.25">
      <c r="A47" s="35" t="s">
        <v>1727</v>
      </c>
      <c r="B47" s="4" t="s">
        <v>1822</v>
      </c>
    </row>
    <row r="48" spans="1:6" x14ac:dyDescent="0.25">
      <c r="A48" s="35" t="s">
        <v>1728</v>
      </c>
      <c r="B48" s="4" t="s">
        <v>1822</v>
      </c>
      <c r="C48" s="2" t="s">
        <v>413</v>
      </c>
      <c r="D48" s="2" t="s">
        <v>1833</v>
      </c>
    </row>
    <row r="49" spans="1:6" x14ac:dyDescent="0.25">
      <c r="A49" s="35" t="s">
        <v>1771</v>
      </c>
      <c r="B49" s="4" t="s">
        <v>1823</v>
      </c>
    </row>
    <row r="50" spans="1:6" x14ac:dyDescent="0.25">
      <c r="A50" s="35" t="s">
        <v>1772</v>
      </c>
      <c r="B50" s="4" t="s">
        <v>1823</v>
      </c>
    </row>
    <row r="51" spans="1:6" x14ac:dyDescent="0.25">
      <c r="A51" s="35" t="s">
        <v>765</v>
      </c>
      <c r="B51" s="4" t="s">
        <v>1823</v>
      </c>
    </row>
    <row r="52" spans="1:6" x14ac:dyDescent="0.25">
      <c r="A52" s="35" t="s">
        <v>1773</v>
      </c>
      <c r="B52" s="4" t="s">
        <v>1823</v>
      </c>
    </row>
    <row r="53" spans="1:6" x14ac:dyDescent="0.25">
      <c r="A53" s="35" t="s">
        <v>1777</v>
      </c>
      <c r="B53" s="4" t="s">
        <v>1823</v>
      </c>
    </row>
    <row r="54" spans="1:6" x14ac:dyDescent="0.25">
      <c r="A54" s="35" t="s">
        <v>1774</v>
      </c>
      <c r="B54" s="4" t="s">
        <v>1823</v>
      </c>
    </row>
    <row r="55" spans="1:6" x14ac:dyDescent="0.25">
      <c r="A55" s="35" t="s">
        <v>1775</v>
      </c>
      <c r="B55" s="4" t="s">
        <v>1823</v>
      </c>
    </row>
    <row r="56" spans="1:6" x14ac:dyDescent="0.25">
      <c r="A56" s="35" t="s">
        <v>1776</v>
      </c>
      <c r="B56" s="4" t="s">
        <v>1823</v>
      </c>
      <c r="E56" s="2" t="s">
        <v>451</v>
      </c>
      <c r="F56" s="2" t="s">
        <v>1834</v>
      </c>
    </row>
    <row r="57" spans="1:6" x14ac:dyDescent="0.25">
      <c r="A57" s="35" t="s">
        <v>1729</v>
      </c>
      <c r="B57" s="4" t="s">
        <v>1822</v>
      </c>
    </row>
    <row r="58" spans="1:6" x14ac:dyDescent="0.25">
      <c r="A58" s="35" t="s">
        <v>1778</v>
      </c>
      <c r="B58" s="4" t="s">
        <v>1823</v>
      </c>
    </row>
    <row r="59" spans="1:6" x14ac:dyDescent="0.25">
      <c r="A59" s="35" t="s">
        <v>1779</v>
      </c>
      <c r="B59" s="4" t="s">
        <v>1823</v>
      </c>
    </row>
    <row r="60" spans="1:6" x14ac:dyDescent="0.25">
      <c r="A60" s="35" t="s">
        <v>1780</v>
      </c>
      <c r="B60" s="4" t="s">
        <v>1823</v>
      </c>
      <c r="C60" s="2" t="s">
        <v>256</v>
      </c>
      <c r="D60" s="2" t="s">
        <v>257</v>
      </c>
    </row>
    <row r="61" spans="1:6" ht="25.5" x14ac:dyDescent="0.25">
      <c r="A61" s="35" t="s">
        <v>1781</v>
      </c>
      <c r="B61" s="4" t="s">
        <v>1823</v>
      </c>
      <c r="E61" s="2" t="s">
        <v>1835</v>
      </c>
      <c r="F61" s="2" t="s">
        <v>1836</v>
      </c>
    </row>
    <row r="62" spans="1:6" x14ac:dyDescent="0.25">
      <c r="A62" s="35" t="s">
        <v>1782</v>
      </c>
      <c r="B62" s="4" t="s">
        <v>1823</v>
      </c>
      <c r="C62" s="2" t="s">
        <v>237</v>
      </c>
      <c r="D62" s="2" t="s">
        <v>238</v>
      </c>
      <c r="E62" s="2" t="s">
        <v>357</v>
      </c>
      <c r="F62" s="2" t="s">
        <v>358</v>
      </c>
    </row>
    <row r="63" spans="1:6" x14ac:dyDescent="0.25">
      <c r="A63" s="35" t="s">
        <v>1783</v>
      </c>
      <c r="B63" s="4" t="s">
        <v>1823</v>
      </c>
    </row>
    <row r="64" spans="1:6" x14ac:dyDescent="0.25">
      <c r="A64" s="35" t="s">
        <v>1784</v>
      </c>
      <c r="B64" s="4" t="s">
        <v>1823</v>
      </c>
    </row>
    <row r="65" spans="1:6" x14ac:dyDescent="0.25">
      <c r="A65" s="35" t="s">
        <v>1785</v>
      </c>
      <c r="B65" s="4" t="s">
        <v>1823</v>
      </c>
    </row>
    <row r="66" spans="1:6" x14ac:dyDescent="0.25">
      <c r="A66" s="35" t="s">
        <v>1730</v>
      </c>
      <c r="B66" s="4" t="s">
        <v>1822</v>
      </c>
      <c r="E66" s="2" t="s">
        <v>509</v>
      </c>
      <c r="F66" s="2" t="s">
        <v>510</v>
      </c>
    </row>
    <row r="67" spans="1:6" x14ac:dyDescent="0.25">
      <c r="A67" s="35" t="s">
        <v>1731</v>
      </c>
      <c r="B67" s="4" t="s">
        <v>1822</v>
      </c>
    </row>
    <row r="68" spans="1:6" x14ac:dyDescent="0.25">
      <c r="A68" s="35" t="s">
        <v>1732</v>
      </c>
      <c r="B68" s="4" t="s">
        <v>1822</v>
      </c>
      <c r="E68" s="2" t="s">
        <v>475</v>
      </c>
      <c r="F68" s="2" t="s">
        <v>1837</v>
      </c>
    </row>
    <row r="69" spans="1:6" x14ac:dyDescent="0.25">
      <c r="A69" s="35" t="s">
        <v>1786</v>
      </c>
      <c r="B69" s="4" t="s">
        <v>1823</v>
      </c>
      <c r="E69" s="2" t="s">
        <v>366</v>
      </c>
      <c r="F69" s="2" t="s">
        <v>367</v>
      </c>
    </row>
    <row r="70" spans="1:6" x14ac:dyDescent="0.25">
      <c r="A70" s="35" t="s">
        <v>1787</v>
      </c>
      <c r="B70" s="4" t="s">
        <v>1823</v>
      </c>
    </row>
    <row r="71" spans="1:6" ht="25.5" x14ac:dyDescent="0.25">
      <c r="A71" s="35" t="s">
        <v>1733</v>
      </c>
      <c r="B71" s="4" t="s">
        <v>1822</v>
      </c>
      <c r="C71" s="2" t="s">
        <v>1838</v>
      </c>
      <c r="D71" s="2" t="s">
        <v>1839</v>
      </c>
      <c r="E71" s="2" t="s">
        <v>631</v>
      </c>
      <c r="F71" s="2" t="s">
        <v>632</v>
      </c>
    </row>
    <row r="72" spans="1:6" x14ac:dyDescent="0.25">
      <c r="A72" s="35" t="s">
        <v>1788</v>
      </c>
      <c r="B72" s="4" t="s">
        <v>1823</v>
      </c>
    </row>
    <row r="73" spans="1:6" x14ac:dyDescent="0.25">
      <c r="A73" s="35" t="s">
        <v>1789</v>
      </c>
      <c r="B73" s="4" t="s">
        <v>1823</v>
      </c>
      <c r="E73" s="2" t="s">
        <v>557</v>
      </c>
      <c r="F73" s="2" t="s">
        <v>1840</v>
      </c>
    </row>
    <row r="74" spans="1:6" x14ac:dyDescent="0.25">
      <c r="A74" s="35" t="s">
        <v>1790</v>
      </c>
      <c r="B74" s="4" t="s">
        <v>1823</v>
      </c>
    </row>
    <row r="75" spans="1:6" x14ac:dyDescent="0.25">
      <c r="A75" s="35" t="s">
        <v>1791</v>
      </c>
      <c r="B75" s="4" t="s">
        <v>1823</v>
      </c>
    </row>
    <row r="76" spans="1:6" x14ac:dyDescent="0.25">
      <c r="A76" s="35" t="s">
        <v>1792</v>
      </c>
      <c r="B76" s="4" t="s">
        <v>1823</v>
      </c>
    </row>
    <row r="77" spans="1:6" ht="25.5" x14ac:dyDescent="0.25">
      <c r="A77" s="35" t="s">
        <v>1734</v>
      </c>
      <c r="B77" s="4" t="s">
        <v>1822</v>
      </c>
      <c r="C77" s="2" t="s">
        <v>1841</v>
      </c>
      <c r="D77" s="2" t="s">
        <v>1842</v>
      </c>
      <c r="E77" s="2" t="s">
        <v>633</v>
      </c>
      <c r="F77" s="2" t="s">
        <v>1843</v>
      </c>
    </row>
    <row r="78" spans="1:6" x14ac:dyDescent="0.25">
      <c r="A78" s="35" t="s">
        <v>1735</v>
      </c>
      <c r="B78" s="4" t="s">
        <v>1822</v>
      </c>
      <c r="C78" s="2" t="s">
        <v>424</v>
      </c>
      <c r="D78" s="2" t="s">
        <v>425</v>
      </c>
      <c r="E78" s="2" t="s">
        <v>606</v>
      </c>
      <c r="F78" s="2" t="s">
        <v>607</v>
      </c>
    </row>
    <row r="79" spans="1:6" ht="38.25" x14ac:dyDescent="0.25">
      <c r="A79" s="35" t="s">
        <v>1793</v>
      </c>
      <c r="B79" s="4" t="s">
        <v>1823</v>
      </c>
      <c r="E79" s="2" t="s">
        <v>1844</v>
      </c>
      <c r="F79" s="2" t="s">
        <v>1845</v>
      </c>
    </row>
    <row r="80" spans="1:6" x14ac:dyDescent="0.25">
      <c r="A80" s="35" t="s">
        <v>1794</v>
      </c>
      <c r="B80" s="4" t="s">
        <v>1823</v>
      </c>
    </row>
    <row r="81" spans="1:6" ht="25.5" x14ac:dyDescent="0.25">
      <c r="A81" s="35" t="s">
        <v>1795</v>
      </c>
      <c r="B81" s="4" t="s">
        <v>1823</v>
      </c>
      <c r="C81" s="2" t="s">
        <v>1846</v>
      </c>
      <c r="D81" s="2" t="s">
        <v>1847</v>
      </c>
    </row>
    <row r="82" spans="1:6" x14ac:dyDescent="0.25">
      <c r="A82" s="35" t="s">
        <v>1796</v>
      </c>
      <c r="B82" s="4" t="s">
        <v>1823</v>
      </c>
      <c r="C82" s="2" t="s">
        <v>184</v>
      </c>
      <c r="D82" s="2" t="s">
        <v>185</v>
      </c>
    </row>
    <row r="83" spans="1:6" x14ac:dyDescent="0.25">
      <c r="A83" s="35" t="s">
        <v>1736</v>
      </c>
      <c r="B83" s="4" t="s">
        <v>1822</v>
      </c>
    </row>
    <row r="84" spans="1:6" x14ac:dyDescent="0.25">
      <c r="A84" s="35" t="s">
        <v>1797</v>
      </c>
      <c r="B84" s="4" t="s">
        <v>1823</v>
      </c>
    </row>
    <row r="85" spans="1:6" x14ac:dyDescent="0.25">
      <c r="A85" s="35" t="s">
        <v>1737</v>
      </c>
      <c r="B85" s="4" t="s">
        <v>1822</v>
      </c>
    </row>
    <row r="86" spans="1:6" x14ac:dyDescent="0.25">
      <c r="A86" s="35" t="s">
        <v>1798</v>
      </c>
      <c r="B86" s="4" t="s">
        <v>1823</v>
      </c>
    </row>
    <row r="87" spans="1:6" x14ac:dyDescent="0.25">
      <c r="A87" s="35" t="s">
        <v>182</v>
      </c>
      <c r="B87" s="4" t="s">
        <v>1822</v>
      </c>
    </row>
    <row r="88" spans="1:6" ht="25.5" x14ac:dyDescent="0.25">
      <c r="A88" s="35" t="s">
        <v>1738</v>
      </c>
      <c r="B88" s="4" t="s">
        <v>1822</v>
      </c>
      <c r="C88" s="2" t="s">
        <v>1841</v>
      </c>
      <c r="D88" s="2" t="s">
        <v>1842</v>
      </c>
      <c r="E88" s="2" t="s">
        <v>449</v>
      </c>
      <c r="F88" s="2" t="s">
        <v>450</v>
      </c>
    </row>
    <row r="89" spans="1:6" ht="25.5" x14ac:dyDescent="0.25">
      <c r="A89" s="35" t="s">
        <v>1739</v>
      </c>
      <c r="B89" s="4" t="s">
        <v>1822</v>
      </c>
      <c r="C89" s="2" t="s">
        <v>1848</v>
      </c>
      <c r="D89" s="2" t="s">
        <v>532</v>
      </c>
      <c r="E89" s="2" t="s">
        <v>110</v>
      </c>
      <c r="F89" s="2" t="s">
        <v>111</v>
      </c>
    </row>
    <row r="90" spans="1:6" x14ac:dyDescent="0.25">
      <c r="A90" s="35" t="s">
        <v>1799</v>
      </c>
      <c r="B90" s="4" t="s">
        <v>1823</v>
      </c>
    </row>
    <row r="91" spans="1:6" x14ac:dyDescent="0.25">
      <c r="A91" s="35" t="s">
        <v>1800</v>
      </c>
      <c r="B91" s="4" t="s">
        <v>1823</v>
      </c>
    </row>
    <row r="92" spans="1:6" x14ac:dyDescent="0.25">
      <c r="A92" s="35" t="s">
        <v>1801</v>
      </c>
      <c r="B92" s="4" t="s">
        <v>1823</v>
      </c>
    </row>
    <row r="93" spans="1:6" x14ac:dyDescent="0.25">
      <c r="A93" s="35" t="s">
        <v>1740</v>
      </c>
      <c r="B93" s="4" t="s">
        <v>1822</v>
      </c>
    </row>
    <row r="94" spans="1:6" x14ac:dyDescent="0.25">
      <c r="A94" s="35" t="s">
        <v>1802</v>
      </c>
      <c r="B94" s="4" t="s">
        <v>1823</v>
      </c>
      <c r="E94" s="2" t="s">
        <v>454</v>
      </c>
      <c r="F94" s="2" t="s">
        <v>455</v>
      </c>
    </row>
    <row r="95" spans="1:6" x14ac:dyDescent="0.25">
      <c r="A95" s="35" t="s">
        <v>1803</v>
      </c>
      <c r="B95" s="4" t="s">
        <v>1823</v>
      </c>
    </row>
    <row r="96" spans="1:6" x14ac:dyDescent="0.25">
      <c r="A96" s="35" t="s">
        <v>1804</v>
      </c>
      <c r="B96" s="4" t="s">
        <v>1823</v>
      </c>
    </row>
    <row r="97" spans="1:6" x14ac:dyDescent="0.25">
      <c r="A97" s="35" t="s">
        <v>1805</v>
      </c>
      <c r="B97" s="4" t="s">
        <v>1823</v>
      </c>
    </row>
    <row r="98" spans="1:6" x14ac:dyDescent="0.25">
      <c r="A98" s="35" t="s">
        <v>1806</v>
      </c>
      <c r="B98" s="4" t="s">
        <v>1823</v>
      </c>
    </row>
    <row r="99" spans="1:6" x14ac:dyDescent="0.25">
      <c r="A99" s="35" t="s">
        <v>1807</v>
      </c>
      <c r="B99" s="4" t="s">
        <v>1823</v>
      </c>
    </row>
    <row r="100" spans="1:6" ht="38.25" x14ac:dyDescent="0.25">
      <c r="A100" s="35" t="s">
        <v>1741</v>
      </c>
      <c r="B100" s="4" t="s">
        <v>1822</v>
      </c>
      <c r="C100" s="2" t="s">
        <v>1849</v>
      </c>
      <c r="D100" s="2" t="s">
        <v>1850</v>
      </c>
    </row>
    <row r="101" spans="1:6" x14ac:dyDescent="0.25">
      <c r="A101" s="35" t="s">
        <v>1808</v>
      </c>
      <c r="B101" s="4" t="s">
        <v>1823</v>
      </c>
    </row>
    <row r="102" spans="1:6" x14ac:dyDescent="0.25">
      <c r="A102" s="35" t="s">
        <v>764</v>
      </c>
      <c r="B102" s="4" t="s">
        <v>1823</v>
      </c>
    </row>
    <row r="103" spans="1:6" x14ac:dyDescent="0.25">
      <c r="A103" s="35" t="s">
        <v>1742</v>
      </c>
      <c r="B103" s="4" t="s">
        <v>1822</v>
      </c>
    </row>
    <row r="104" spans="1:6" ht="25.5" x14ac:dyDescent="0.25">
      <c r="A104" s="35" t="s">
        <v>1743</v>
      </c>
      <c r="B104" s="4" t="s">
        <v>1822</v>
      </c>
      <c r="E104" s="2" t="s">
        <v>1851</v>
      </c>
      <c r="F104" s="2" t="s">
        <v>1852</v>
      </c>
    </row>
    <row r="105" spans="1:6" x14ac:dyDescent="0.25">
      <c r="A105" s="35" t="s">
        <v>1809</v>
      </c>
      <c r="B105" s="4" t="s">
        <v>1823</v>
      </c>
    </row>
    <row r="106" spans="1:6" x14ac:dyDescent="0.25">
      <c r="A106" s="35" t="s">
        <v>1810</v>
      </c>
      <c r="B106" s="4" t="s">
        <v>1823</v>
      </c>
      <c r="E106" s="2" t="s">
        <v>239</v>
      </c>
      <c r="F106" s="2" t="s">
        <v>1853</v>
      </c>
    </row>
    <row r="107" spans="1:6" x14ac:dyDescent="0.25">
      <c r="A107" s="35" t="s">
        <v>1811</v>
      </c>
      <c r="B107" s="4" t="s">
        <v>1823</v>
      </c>
    </row>
    <row r="108" spans="1:6" x14ac:dyDescent="0.25">
      <c r="A108" s="35" t="s">
        <v>1812</v>
      </c>
      <c r="B108" s="4" t="s">
        <v>1823</v>
      </c>
      <c r="E108" s="2" t="s">
        <v>336</v>
      </c>
      <c r="F108" s="2" t="s">
        <v>1854</v>
      </c>
    </row>
    <row r="109" spans="1:6" x14ac:dyDescent="0.25">
      <c r="A109" s="35" t="s">
        <v>1813</v>
      </c>
      <c r="B109" s="4" t="s">
        <v>1823</v>
      </c>
    </row>
    <row r="110" spans="1:6" x14ac:dyDescent="0.25">
      <c r="A110" s="35" t="s">
        <v>1814</v>
      </c>
      <c r="B110" s="4" t="s">
        <v>1823</v>
      </c>
    </row>
    <row r="111" spans="1:6" x14ac:dyDescent="0.25">
      <c r="A111" s="35" t="s">
        <v>1744</v>
      </c>
      <c r="B111" s="4" t="s">
        <v>1822</v>
      </c>
      <c r="C111" s="2"/>
      <c r="D111" s="2"/>
      <c r="E111" s="2" t="s">
        <v>188</v>
      </c>
      <c r="F111" s="2" t="s">
        <v>189</v>
      </c>
    </row>
    <row r="112" spans="1:6" x14ac:dyDescent="0.25">
      <c r="A112" s="35" t="s">
        <v>1815</v>
      </c>
      <c r="B112" s="4" t="s">
        <v>1823</v>
      </c>
    </row>
    <row r="113" spans="1:4" x14ac:dyDescent="0.25">
      <c r="A113" s="35" t="s">
        <v>1816</v>
      </c>
      <c r="B113" s="4" t="s">
        <v>1823</v>
      </c>
    </row>
    <row r="114" spans="1:4" x14ac:dyDescent="0.25">
      <c r="A114" s="35" t="s">
        <v>1817</v>
      </c>
      <c r="B114" s="4" t="s">
        <v>1823</v>
      </c>
      <c r="C114" s="2" t="s">
        <v>506</v>
      </c>
      <c r="D114" s="2" t="s">
        <v>1855</v>
      </c>
    </row>
    <row r="115" spans="1:4" x14ac:dyDescent="0.25">
      <c r="A115" s="35" t="s">
        <v>1745</v>
      </c>
      <c r="B115" s="4" t="s">
        <v>1822</v>
      </c>
    </row>
    <row r="116" spans="1:4" x14ac:dyDescent="0.25">
      <c r="A116" s="35" t="s">
        <v>1746</v>
      </c>
      <c r="B116" s="4" t="s">
        <v>1822</v>
      </c>
    </row>
  </sheetData>
  <conditionalFormatting sqref="B1:B1048576">
    <cfRule type="cellIs" dxfId="377" priority="9" operator="equal">
      <formula>"No"</formula>
    </cfRule>
    <cfRule type="cellIs" dxfId="376" priority="10" operator="equal">
      <formula>"Yes"</formula>
    </cfRule>
  </conditionalFormatting>
  <conditionalFormatting sqref="C2">
    <cfRule type="expression" dxfId="375" priority="98">
      <formula>S2="Y"</formula>
    </cfRule>
  </conditionalFormatting>
  <conditionalFormatting sqref="C18">
    <cfRule type="expression" dxfId="374" priority="60">
      <formula>Q18="Y"</formula>
    </cfRule>
  </conditionalFormatting>
  <conditionalFormatting sqref="C30:C31">
    <cfRule type="expression" dxfId="373" priority="68">
      <formula>Q30="Y"</formula>
    </cfRule>
  </conditionalFormatting>
  <conditionalFormatting sqref="C44">
    <cfRule type="expression" dxfId="372" priority="91">
      <formula>Q44="Y"</formula>
    </cfRule>
  </conditionalFormatting>
  <conditionalFormatting sqref="C48">
    <cfRule type="expression" dxfId="371" priority="88">
      <formula>Q48="Y"</formula>
    </cfRule>
  </conditionalFormatting>
  <conditionalFormatting sqref="C60">
    <cfRule type="expression" dxfId="370" priority="58">
      <formula>Q60="Y"</formula>
    </cfRule>
  </conditionalFormatting>
  <conditionalFormatting sqref="C62">
    <cfRule type="expression" dxfId="369" priority="90">
      <formula>Q62="Y"</formula>
    </cfRule>
  </conditionalFormatting>
  <conditionalFormatting sqref="C71">
    <cfRule type="expression" dxfId="368" priority="93">
      <formula>Q71="Y"</formula>
    </cfRule>
  </conditionalFormatting>
  <conditionalFormatting sqref="C77:C78">
    <cfRule type="expression" dxfId="367" priority="62">
      <formula>Q77="Y"</formula>
    </cfRule>
  </conditionalFormatting>
  <conditionalFormatting sqref="C81:C82">
    <cfRule type="expression" dxfId="366" priority="24">
      <formula>Q81="Y"</formula>
    </cfRule>
  </conditionalFormatting>
  <conditionalFormatting sqref="C88:C89">
    <cfRule type="expression" dxfId="365" priority="64">
      <formula>Q88="Y"</formula>
    </cfRule>
  </conditionalFormatting>
  <conditionalFormatting sqref="C100">
    <cfRule type="expression" dxfId="364" priority="82">
      <formula>Q100="Y"</formula>
    </cfRule>
  </conditionalFormatting>
  <conditionalFormatting sqref="C111">
    <cfRule type="expression" dxfId="363" priority="86">
      <formula>Q111="Y"</formula>
    </cfRule>
  </conditionalFormatting>
  <conditionalFormatting sqref="C114">
    <cfRule type="expression" dxfId="362" priority="74">
      <formula>Q114="Y"</formula>
    </cfRule>
  </conditionalFormatting>
  <conditionalFormatting sqref="D18">
    <cfRule type="expression" dxfId="361" priority="59">
      <formula>Q18="Y"</formula>
    </cfRule>
  </conditionalFormatting>
  <conditionalFormatting sqref="D30:D31">
    <cfRule type="expression" dxfId="360" priority="67">
      <formula>Q30="Y"</formula>
    </cfRule>
  </conditionalFormatting>
  <conditionalFormatting sqref="D48">
    <cfRule type="expression" dxfId="359" priority="87">
      <formula>Q48="Y"</formula>
    </cfRule>
  </conditionalFormatting>
  <conditionalFormatting sqref="D60">
    <cfRule type="expression" dxfId="358" priority="57">
      <formula>Q60="Y"</formula>
    </cfRule>
  </conditionalFormatting>
  <conditionalFormatting sqref="D62">
    <cfRule type="expression" dxfId="357" priority="89">
      <formula>Q62="Y"</formula>
    </cfRule>
  </conditionalFormatting>
  <conditionalFormatting sqref="D71">
    <cfRule type="expression" dxfId="356" priority="92">
      <formula>Q71="Y"</formula>
    </cfRule>
  </conditionalFormatting>
  <conditionalFormatting sqref="D77:D78">
    <cfRule type="expression" dxfId="355" priority="61">
      <formula>Q77="Y"</formula>
    </cfRule>
  </conditionalFormatting>
  <conditionalFormatting sqref="D81:D82">
    <cfRule type="expression" dxfId="354" priority="23">
      <formula>Q81="Y"</formula>
    </cfRule>
  </conditionalFormatting>
  <conditionalFormatting sqref="D88:D89">
    <cfRule type="expression" dxfId="353" priority="63">
      <formula>Q88="Y"</formula>
    </cfRule>
  </conditionalFormatting>
  <conditionalFormatting sqref="D100">
    <cfRule type="expression" dxfId="352" priority="81">
      <formula>Q100="Y"</formula>
    </cfRule>
  </conditionalFormatting>
  <conditionalFormatting sqref="D111">
    <cfRule type="expression" dxfId="351" priority="85">
      <formula>Q111="Y"</formula>
    </cfRule>
  </conditionalFormatting>
  <conditionalFormatting sqref="D114">
    <cfRule type="expression" dxfId="350" priority="73">
      <formula>Q114="Y"</formula>
    </cfRule>
  </conditionalFormatting>
  <conditionalFormatting sqref="E3">
    <cfRule type="expression" dxfId="349" priority="12">
      <formula>S3="Y"</formula>
    </cfRule>
  </conditionalFormatting>
  <conditionalFormatting sqref="E8:E10">
    <cfRule type="expression" dxfId="348" priority="46">
      <formula>S8="Y"</formula>
    </cfRule>
  </conditionalFormatting>
  <conditionalFormatting sqref="E17">
    <cfRule type="expression" dxfId="347" priority="16">
      <formula>S17="Y"</formula>
    </cfRule>
  </conditionalFormatting>
  <conditionalFormatting sqref="E19">
    <cfRule type="expression" dxfId="346" priority="38">
      <formula>S19="Y"</formula>
    </cfRule>
  </conditionalFormatting>
  <conditionalFormatting sqref="E22:E23">
    <cfRule type="expression" dxfId="345" priority="28">
      <formula>S22="Y"</formula>
    </cfRule>
  </conditionalFormatting>
  <conditionalFormatting sqref="E25:E27">
    <cfRule type="expression" dxfId="344" priority="4">
      <formula>S25="Y"</formula>
    </cfRule>
  </conditionalFormatting>
  <conditionalFormatting sqref="E34">
    <cfRule type="expression" dxfId="343" priority="66">
      <formula>Q34="Y"</formula>
    </cfRule>
  </conditionalFormatting>
  <conditionalFormatting sqref="E44">
    <cfRule type="expression" dxfId="342" priority="54">
      <formula>S44="Y"</formula>
    </cfRule>
  </conditionalFormatting>
  <conditionalFormatting sqref="E56">
    <cfRule type="expression" dxfId="341" priority="48">
      <formula>S56="Y"</formula>
    </cfRule>
  </conditionalFormatting>
  <conditionalFormatting sqref="E61:E62">
    <cfRule type="expression" dxfId="340" priority="14">
      <formula>S61="Y"</formula>
    </cfRule>
  </conditionalFormatting>
  <conditionalFormatting sqref="E66">
    <cfRule type="expression" dxfId="339" priority="42">
      <formula>S66="Y"</formula>
    </cfRule>
  </conditionalFormatting>
  <conditionalFormatting sqref="E68:E69">
    <cfRule type="expression" dxfId="338" priority="30">
      <formula>S68="Y"</formula>
    </cfRule>
  </conditionalFormatting>
  <conditionalFormatting sqref="E71">
    <cfRule type="expression" dxfId="337" priority="36">
      <formula>S71="Y"</formula>
    </cfRule>
  </conditionalFormatting>
  <conditionalFormatting sqref="E73">
    <cfRule type="expression" dxfId="336" priority="84">
      <formula>Q73="Y"</formula>
    </cfRule>
  </conditionalFormatting>
  <conditionalFormatting sqref="E77:E79">
    <cfRule type="expression" dxfId="335" priority="6">
      <formula>S77="Y"</formula>
    </cfRule>
  </conditionalFormatting>
  <conditionalFormatting sqref="E88:E89">
    <cfRule type="expression" dxfId="334" priority="20">
      <formula>S88="Y"</formula>
    </cfRule>
  </conditionalFormatting>
  <conditionalFormatting sqref="E94">
    <cfRule type="expression" dxfId="333" priority="26">
      <formula>S94="Y"</formula>
    </cfRule>
  </conditionalFormatting>
  <conditionalFormatting sqref="E104">
    <cfRule type="expression" dxfId="332" priority="22">
      <formula>S104="Y"</formula>
    </cfRule>
  </conditionalFormatting>
  <conditionalFormatting sqref="E106">
    <cfRule type="expression" dxfId="331" priority="80">
      <formula>S106="Y"</formula>
    </cfRule>
  </conditionalFormatting>
  <conditionalFormatting sqref="E108">
    <cfRule type="expression" dxfId="330" priority="18">
      <formula>S108="Y"</formula>
    </cfRule>
  </conditionalFormatting>
  <conditionalFormatting sqref="E111">
    <cfRule type="expression" dxfId="329" priority="2">
      <formula>S111="Y"</formula>
    </cfRule>
  </conditionalFormatting>
  <conditionalFormatting sqref="F3">
    <cfRule type="expression" dxfId="328" priority="11">
      <formula>S3="Y"</formula>
    </cfRule>
  </conditionalFormatting>
  <conditionalFormatting sqref="F8:F10">
    <cfRule type="expression" dxfId="327" priority="45">
      <formula>S8="Y"</formula>
    </cfRule>
  </conditionalFormatting>
  <conditionalFormatting sqref="F17">
    <cfRule type="expression" dxfId="326" priority="15">
      <formula>S17="Y"</formula>
    </cfRule>
  </conditionalFormatting>
  <conditionalFormatting sqref="F19">
    <cfRule type="expression" dxfId="325" priority="37">
      <formula>S19="Y"</formula>
    </cfRule>
  </conditionalFormatting>
  <conditionalFormatting sqref="F22:F23">
    <cfRule type="expression" dxfId="324" priority="27">
      <formula>S22="Y"</formula>
    </cfRule>
  </conditionalFormatting>
  <conditionalFormatting sqref="F25:F27">
    <cfRule type="expression" dxfId="323" priority="3">
      <formula>S25="Y"</formula>
    </cfRule>
  </conditionalFormatting>
  <conditionalFormatting sqref="F34">
    <cfRule type="expression" dxfId="322" priority="65">
      <formula>Q34="Y"</formula>
    </cfRule>
  </conditionalFormatting>
  <conditionalFormatting sqref="F44">
    <cfRule type="expression" dxfId="321" priority="53">
      <formula>S44="Y"</formula>
    </cfRule>
  </conditionalFormatting>
  <conditionalFormatting sqref="F56">
    <cfRule type="expression" dxfId="320" priority="47">
      <formula>S56="Y"</formula>
    </cfRule>
  </conditionalFormatting>
  <conditionalFormatting sqref="F61:F62">
    <cfRule type="expression" dxfId="319" priority="13">
      <formula>S61="Y"</formula>
    </cfRule>
  </conditionalFormatting>
  <conditionalFormatting sqref="F66">
    <cfRule type="expression" dxfId="318" priority="41">
      <formula>S66="Y"</formula>
    </cfRule>
  </conditionalFormatting>
  <conditionalFormatting sqref="F68:F69">
    <cfRule type="expression" dxfId="317" priority="29">
      <formula>S68="Y"</formula>
    </cfRule>
  </conditionalFormatting>
  <conditionalFormatting sqref="F71">
    <cfRule type="expression" dxfId="316" priority="35">
      <formula>S71="Y"</formula>
    </cfRule>
  </conditionalFormatting>
  <conditionalFormatting sqref="F73">
    <cfRule type="expression" dxfId="315" priority="83">
      <formula>Q73="Y"</formula>
    </cfRule>
  </conditionalFormatting>
  <conditionalFormatting sqref="F77:F79">
    <cfRule type="expression" dxfId="314" priority="5">
      <formula>S77="Y"</formula>
    </cfRule>
  </conditionalFormatting>
  <conditionalFormatting sqref="F88:F89">
    <cfRule type="expression" dxfId="313" priority="19">
      <formula>S88="Y"</formula>
    </cfRule>
  </conditionalFormatting>
  <conditionalFormatting sqref="F94">
    <cfRule type="expression" dxfId="312" priority="25">
      <formula>S94="Y"</formula>
    </cfRule>
  </conditionalFormatting>
  <conditionalFormatting sqref="F104">
    <cfRule type="expression" dxfId="311" priority="21">
      <formula>S104="Y"</formula>
    </cfRule>
  </conditionalFormatting>
  <conditionalFormatting sqref="F106">
    <cfRule type="expression" dxfId="310" priority="79">
      <formula>S106="Y"</formula>
    </cfRule>
  </conditionalFormatting>
  <conditionalFormatting sqref="F108">
    <cfRule type="expression" dxfId="309" priority="17">
      <formula>S108="Y"</formula>
    </cfRule>
  </conditionalFormatting>
  <conditionalFormatting sqref="F111">
    <cfRule type="expression" dxfId="308" priority="1">
      <formula>S111="Y"</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F934-B5CD-4C00-8D57-A5021FDDF4F5}">
  <dimension ref="A1:P153"/>
  <sheetViews>
    <sheetView topLeftCell="A58" zoomScale="80" zoomScaleNormal="80" workbookViewId="0">
      <selection activeCell="B100" sqref="A100:P100"/>
    </sheetView>
  </sheetViews>
  <sheetFormatPr defaultRowHeight="15" x14ac:dyDescent="0.25"/>
  <cols>
    <col min="1" max="1" width="9.28515625" customWidth="1"/>
    <col min="2" max="2" width="26.28515625" style="66" customWidth="1"/>
    <col min="3" max="3" width="11.7109375" style="4" customWidth="1"/>
    <col min="4" max="4" width="12.7109375" customWidth="1"/>
    <col min="5" max="6" width="13.7109375" customWidth="1"/>
    <col min="7" max="7" width="31.7109375" style="19" bestFit="1" customWidth="1"/>
    <col min="8" max="8" width="10.28515625" style="19" bestFit="1" customWidth="1"/>
    <col min="9" max="9" width="67.5703125" style="1" customWidth="1"/>
    <col min="10" max="10" width="14.42578125" style="58" customWidth="1"/>
    <col min="11" max="11" width="11.5703125" style="4" customWidth="1"/>
    <col min="12" max="12" width="9.42578125" style="1" customWidth="1"/>
    <col min="13" max="13" width="28.140625" style="1" customWidth="1"/>
    <col min="14" max="14" width="34.42578125" style="4" customWidth="1"/>
    <col min="15" max="15" width="60.140625" customWidth="1"/>
    <col min="16" max="16" width="63.140625" customWidth="1"/>
  </cols>
  <sheetData>
    <row r="1" spans="1:16" ht="29.25" customHeight="1" x14ac:dyDescent="0.25">
      <c r="A1" s="37" t="s">
        <v>1856</v>
      </c>
      <c r="B1" s="37" t="s">
        <v>1857</v>
      </c>
      <c r="C1" s="41" t="s">
        <v>1859</v>
      </c>
      <c r="D1" s="37" t="s">
        <v>1858</v>
      </c>
      <c r="E1" s="37" t="s">
        <v>2028</v>
      </c>
      <c r="F1" s="37" t="s">
        <v>2046</v>
      </c>
      <c r="G1" s="11" t="s">
        <v>634</v>
      </c>
      <c r="H1" s="11" t="s">
        <v>754</v>
      </c>
      <c r="I1" s="11" t="s">
        <v>635</v>
      </c>
      <c r="J1" s="53" t="s">
        <v>637</v>
      </c>
      <c r="K1" s="12" t="s">
        <v>636</v>
      </c>
      <c r="L1" s="12" t="s">
        <v>1668</v>
      </c>
      <c r="M1" s="11" t="s">
        <v>766</v>
      </c>
      <c r="N1" s="12" t="s">
        <v>2025</v>
      </c>
      <c r="O1" s="13" t="s">
        <v>767</v>
      </c>
      <c r="P1" s="13" t="s">
        <v>1636</v>
      </c>
    </row>
    <row r="2" spans="1:16" ht="29.25" customHeight="1" x14ac:dyDescent="0.25">
      <c r="A2" s="68" t="s">
        <v>2044</v>
      </c>
      <c r="B2" s="69" t="s">
        <v>2045</v>
      </c>
      <c r="C2" s="70"/>
      <c r="D2" s="27">
        <f t="shared" ref="D2:D33" si="0">SUMIFS($L:$L,$A:$A,$A2)</f>
        <v>15083.949999999995</v>
      </c>
      <c r="E2" s="31">
        <f>D2/'Top 10 Hard'!$J$2</f>
        <v>0.40804818468813336</v>
      </c>
      <c r="F2" s="31">
        <f>IF(NOT(ISNUMBER(F1)),0,F1)+Table1[[#This Row],[Points]]/'Top 10 Hard'!$J$2</f>
        <v>0.40804818468813336</v>
      </c>
      <c r="G2" s="51"/>
      <c r="H2" s="64" t="e">
        <f>IF(VLOOKUP($G2,List!$A:$O,15,FALSE)=0,"",VLOOKUP($G2,List!$A:$O,15,FALSE))</f>
        <v>#N/A</v>
      </c>
      <c r="I2" s="71" t="e">
        <f>VLOOKUP($G2,List!$A:$U,2,FALSE)</f>
        <v>#N/A</v>
      </c>
      <c r="J2" s="56" t="e">
        <f>VLOOKUP($G2,List!$A:$U,3,FALSE)</f>
        <v>#N/A</v>
      </c>
      <c r="K2" s="72" t="e">
        <f>VLOOKUP($G2,List!$A:$U,4,FALSE)</f>
        <v>#N/A</v>
      </c>
      <c r="L2" s="71">
        <v>15083.949999999995</v>
      </c>
      <c r="M2" s="71" t="e">
        <f>VLOOKUP($G2,List!$A:$U,17,FALSE)</f>
        <v>#N/A</v>
      </c>
      <c r="N2" s="73"/>
      <c r="O2" s="74" t="e">
        <f>VLOOKUP($G2,List!$A:$U,18,FALSE)</f>
        <v>#N/A</v>
      </c>
      <c r="P2" s="74" t="e">
        <f>VLOOKUP($G2,List!$A:$U,19,FALSE)</f>
        <v>#N/A</v>
      </c>
    </row>
    <row r="3" spans="1:16" ht="30" customHeight="1" x14ac:dyDescent="0.25">
      <c r="A3" s="39" t="s">
        <v>2031</v>
      </c>
      <c r="B3" s="60" t="s">
        <v>1758</v>
      </c>
      <c r="C3" s="4" t="s">
        <v>242</v>
      </c>
      <c r="D3" s="27">
        <f t="shared" si="0"/>
        <v>128.19999999999999</v>
      </c>
      <c r="E3" s="31">
        <f>D3/'Top 10 Hard'!$J$2</f>
        <v>3.468042341496671E-3</v>
      </c>
      <c r="F3" s="31">
        <f>IF(NOT(ISNUMBER(F2)),0,F2)+Table1[[#This Row],[Points]]/'Top 10 Hard'!$J$2</f>
        <v>0.40882727688341497</v>
      </c>
      <c r="G3" s="51" t="s">
        <v>121</v>
      </c>
      <c r="H3" s="4" t="str">
        <f>IF(VLOOKUP($G3,List!$A:$O,15,FALSE)=0,"",VLOOKUP($G3,List!$A:$O,15,FALSE))</f>
        <v>Y</v>
      </c>
      <c r="I3" s="42" t="str">
        <f>VLOOKUP($G3,List!$A:$U,2,FALSE)</f>
        <v>Starting as Denmark, enact the Unified Kalmar Monarchy government reform 
and own the entire Scandinavian region as your cores.</v>
      </c>
      <c r="J3" s="54">
        <f>VLOOKUP($G3,List!$A:$U,3,FALSE)</f>
        <v>1.2E-2</v>
      </c>
      <c r="K3" s="6" t="str">
        <f>VLOOKUP($G3,List!$A:$U,4,FALSE)</f>
        <v>E</v>
      </c>
      <c r="L3" s="44">
        <f>VLOOKUP($G3,List!$A:$U,5,FALSE)</f>
        <v>28.8</v>
      </c>
      <c r="M3" s="42" t="str">
        <f>VLOOKUP($G3,List!$A:$U,17,FALSE)</f>
        <v>Playing as Denmark</v>
      </c>
      <c r="N3" s="44" t="s">
        <v>1823</v>
      </c>
      <c r="O3" s="43" t="str">
        <f>VLOOKUP($G3,List!$A:$U,18,FALSE)</f>
        <v>- Has enacted the Unified Kalmar Monarchy government reform
- Own and core all provinces in the Scandinavia region</v>
      </c>
      <c r="P3" s="43" t="str">
        <f>VLOOKUP($G3,List!$A:$U,19,FALSE)</f>
        <v>Make sure that you always have at least one junior partner in Scandinavia, 
because otherwise you will lose the starting reform Kalmar Union, because 
you can only get the reform Unified Kalmar Monarchy by completing the 
mission Ratify the Kalmar Union while having the reform Kalmar Union.</v>
      </c>
    </row>
    <row r="4" spans="1:16" ht="30" customHeight="1" x14ac:dyDescent="0.25">
      <c r="A4" s="39" t="s">
        <v>2031</v>
      </c>
      <c r="B4" s="60" t="s">
        <v>1758</v>
      </c>
      <c r="C4" s="4" t="s">
        <v>242</v>
      </c>
      <c r="D4" s="27">
        <f t="shared" si="0"/>
        <v>128.19999999999999</v>
      </c>
      <c r="E4" s="31">
        <f>D4/'Top 10 Hard'!$J$2</f>
        <v>3.468042341496671E-3</v>
      </c>
      <c r="F4" s="31">
        <f>IF(NOT(ISNUMBER(F3)),0,F3)+Table1[[#This Row],[Points]]/'Top 10 Hard'!$J$2</f>
        <v>0.4107344296531148</v>
      </c>
      <c r="G4" s="51" t="s">
        <v>353</v>
      </c>
      <c r="H4" s="64" t="str">
        <f>IF(VLOOKUP($G4,List!$A:$O,15,FALSE)=0,"",VLOOKUP($G4,List!$A:$O,15,FALSE))</f>
        <v>Y</v>
      </c>
      <c r="I4" s="42" t="str">
        <f>VLOOKUP($G4,List!$A:$U,2,FALSE)</f>
        <v>Restore the Danelaw region to Danish rule, and make it Danish culture.</v>
      </c>
      <c r="J4" s="54">
        <f>VLOOKUP($G4,List!$A:$U,3,FALSE)</f>
        <v>1.7999999999999999E-2</v>
      </c>
      <c r="K4" s="6" t="str">
        <f>VLOOKUP($G4,List!$A:$U,4,FALSE)</f>
        <v>M</v>
      </c>
      <c r="L4" s="44">
        <f>VLOOKUP($G4,List!$A:$U,5,FALSE)</f>
        <v>70.5</v>
      </c>
      <c r="M4" s="42" t="str">
        <f>VLOOKUP($G4,List!$A:$U,17,FALSE)</f>
        <v>Playing as Denmark</v>
      </c>
      <c r="N4" s="44" t="s">
        <v>1823</v>
      </c>
      <c r="O4" s="43" t="str">
        <f>VLOOKUP($G4,List!$A:$U,18,FALSE)</f>
        <v>- Own and core Northumberland and the Yorkshire, East Midlands, and East 
Anglia areas.
- All these provinces have *Danish*culture.</v>
      </c>
      <c r="P4" s="43">
        <f>VLOOKUP($G4,List!$A:$U,19,FALSE)</f>
        <v>0</v>
      </c>
    </row>
    <row r="5" spans="1:16" ht="30" customHeight="1" x14ac:dyDescent="0.25">
      <c r="A5" s="39" t="s">
        <v>2031</v>
      </c>
      <c r="B5" s="60" t="s">
        <v>1758</v>
      </c>
      <c r="C5" s="4" t="s">
        <v>242</v>
      </c>
      <c r="D5" s="27">
        <f t="shared" si="0"/>
        <v>128.19999999999999</v>
      </c>
      <c r="E5" s="31">
        <f>D5/'Top 10 Hard'!$J$2</f>
        <v>3.468042341496671E-3</v>
      </c>
      <c r="F5" s="31">
        <f>IF(NOT(ISNUMBER(F4)),0,F4)+Table1[[#This Row],[Points]]/'Top 10 Hard'!$J$2</f>
        <v>0.41151622702963003</v>
      </c>
      <c r="G5" s="51" t="s">
        <v>235</v>
      </c>
      <c r="H5" s="64" t="str">
        <f>IF(VLOOKUP($G5,List!$A:$O,15,FALSE)=0,"",VLOOKUP($G5,List!$A:$O,15,FALSE))</f>
        <v>Y</v>
      </c>
      <c r="I5" s="42" t="str">
        <f>VLOOKUP($G5,List!$A:$U,2,FALSE)</f>
        <v>As Denmark establish Trade company and have at least 10% Tea market share.</v>
      </c>
      <c r="J5" s="54">
        <f>VLOOKUP($G5,List!$A:$U,3,FALSE)</f>
        <v>1.0999999999999999E-2</v>
      </c>
      <c r="K5" s="6" t="str">
        <f>VLOOKUP($G5,List!$A:$U,4,FALSE)</f>
        <v>E</v>
      </c>
      <c r="L5" s="44">
        <f>VLOOKUP($G5,List!$A:$U,5,FALSE)</f>
        <v>28.9</v>
      </c>
      <c r="M5" s="42" t="str">
        <f>VLOOKUP($G5,List!$A:$U,17,FALSE)</f>
        <v>- Playing as Denmark</v>
      </c>
      <c r="N5" s="44" t="s">
        <v>1823</v>
      </c>
      <c r="O5" s="43" t="str">
        <f>VLOOKUP($G5,List!$A:$U,18,FALSE)</f>
        <v>- Is Denmark*or*Scandinavia
- Has at least one province in Asia assigned to a trade company
- Has 10% market share in Tea</v>
      </c>
      <c r="P5" s="43" t="str">
        <f>VLOOKUP($G5,List!$A:$U,19,FALSE)</f>
        <v>Easiest when Denmark chooses exploration ideas early to reach Southeast 
Asia. Then form a claim in Ayutthaya or wait for Mingsplosion.</v>
      </c>
    </row>
    <row r="6" spans="1:16" ht="30" customHeight="1" x14ac:dyDescent="0.25">
      <c r="A6" s="45" t="s">
        <v>2032</v>
      </c>
      <c r="B6" s="59" t="s">
        <v>1862</v>
      </c>
      <c r="C6" s="4" t="s">
        <v>573</v>
      </c>
      <c r="D6" s="27">
        <f t="shared" si="0"/>
        <v>443.25</v>
      </c>
      <c r="E6" s="31">
        <f>D6/'Top 10 Hard'!$J$2</f>
        <v>1.1990715818006236E-2</v>
      </c>
      <c r="F6" s="31">
        <f>IF(NOT(ISNUMBER(F5)),0,F5)+Table1[[#This Row],[Points]]/'Top 10 Hard'!$J$2</f>
        <v>0.41957766710580796</v>
      </c>
      <c r="G6" s="59" t="s">
        <v>619</v>
      </c>
      <c r="H6" s="65" t="str">
        <f>IF(VLOOKUP($G6,List!$A:$O,15,FALSE)=0,"",VLOOKUP($G6,List!$A:$O,15,FALSE))</f>
        <v>Y</v>
      </c>
      <c r="I6" s="47" t="str">
        <f>VLOOKUP($G6,List!$A:$U,2,FALSE)</f>
        <v>Starting as Frankfurt, form Jerusalem, and then form the Inca while owning 
Mallorca.</v>
      </c>
      <c r="J6" s="55">
        <f>VLOOKUP($G6,List!$A:$U,3,FALSE)</f>
        <v>2E-3</v>
      </c>
      <c r="K6" s="6" t="str">
        <f>VLOOKUP($G6,List!$A:$U,4,FALSE)</f>
        <v>VH</v>
      </c>
      <c r="L6" s="50">
        <f>VLOOKUP($G6,List!$A:$U,5,FALSE)</f>
        <v>298</v>
      </c>
      <c r="M6" s="47" t="str">
        <f>VLOOKUP($G6,List!$A:$U,17,FALSE)</f>
        <v>Playing as Frankfurt</v>
      </c>
      <c r="N6" s="50" t="s">
        <v>1823</v>
      </c>
      <c r="O6" s="49" t="str">
        <f>VLOOKUP($G6,List!$A:$U,18,FALSE)</f>
        <v>- Was Frankfurt
- Was Jerusalem
- Is Inca
- Own Mallorca (333)</v>
      </c>
      <c r="P6" s="49" t="str">
        <f>VLOOKUP($G6,List!$A:$U,19,FALSE)</f>
        <v>- Hardest part of this achievement is finding and fulfilling conditions 
for different tag formation.
- To form Jerusalem, you need to get into coring range of Jerusalem area 
(vassalize an Italian minor and conquer a province next to it), own and 
state Jerusalem area, move capital to Arabia, Egypt or Mashriq and switch 
from Republic to Monarchy. And this has to be done before the Age of 
Reformation ends, because Frankfurt can't form Jerusalem later.
- To form Inca you need to move your capital to the New World, own cores 
on required provinces, culture shift to Andean culture and change your 
religion to a pagan faith via rebels.
- Switching to play as a released vassal will invalidate the achievement.</v>
      </c>
    </row>
    <row r="7" spans="1:16" ht="30" customHeight="1" x14ac:dyDescent="0.25">
      <c r="A7" s="45" t="s">
        <v>2032</v>
      </c>
      <c r="B7" s="59" t="s">
        <v>1862</v>
      </c>
      <c r="C7" s="4" t="s">
        <v>573</v>
      </c>
      <c r="D7" s="27">
        <f t="shared" si="0"/>
        <v>443.25</v>
      </c>
      <c r="E7" s="31">
        <f>D7/'Top 10 Hard'!$J$2</f>
        <v>1.1990715818006236E-2</v>
      </c>
      <c r="F7" s="31">
        <f>IF(NOT(ISNUMBER(F6)),0,F6)+Table1[[#This Row],[Points]]/'Top 10 Hard'!$J$2</f>
        <v>0.42158626417176842</v>
      </c>
      <c r="G7" s="59" t="s">
        <v>426</v>
      </c>
      <c r="H7" s="65" t="str">
        <f>IF(VLOOKUP($G7,List!$A:$O,15,FALSE)=0,"",VLOOKUP($G7,List!$A:$O,15,FALSE))</f>
        <v>Y</v>
      </c>
      <c r="I7" s="47" t="str">
        <f>VLOOKUP($G7,List!$A:$U,2,FALSE)</f>
        <v>Complete the Incan mission tree (Sunset invasion missions excluded).</v>
      </c>
      <c r="J7" s="55">
        <f>VLOOKUP($G7,List!$A:$U,3,FALSE)</f>
        <v>3.0000000000000001E-3</v>
      </c>
      <c r="K7" s="6" t="str">
        <f>VLOOKUP($G7,List!$A:$U,4,FALSE)</f>
        <v>M</v>
      </c>
      <c r="L7" s="50">
        <f>VLOOKUP($G7,List!$A:$U,5,FALSE)</f>
        <v>74.25</v>
      </c>
      <c r="M7" s="47" t="str">
        <f>VLOOKUP($G7,List!$A:$U,17,FALSE)</f>
        <v>- Is *not* playing with a Random New World</v>
      </c>
      <c r="N7" s="50" t="s">
        <v>1823</v>
      </c>
      <c r="O7" s="49" t="str">
        <f>VLOOKUP($G7,List!$A:$U,18,FALSE)</f>
        <v>Has completed the following missions: 
- *“Rule of the Sun”*
- *“Contact the Oracle”*
- *“Defeat the Wanka”*
- *“Our Chimuan Rivals”*
- *“The Ground Shaker”*
- *“Conquer Cajamarca”*
- *“Take Over Quito”*
- *“Defy the Qollans”*
- *“Seize Southern Fringes”*
- *“Recruit the Chanka”*
- *“Seize the Chincha”*
- *“Down the Altiplano”*
- *“Promote Runasimi”*
- *“Development of the Mitma”*
- *“Awka Kamayuq”*
- *“The Big Ears”*
- *“The Zeq'e System”*
- *“The Oracle of Pachacamac”*
- *“Four Quarters Together”*
- *“The Qollqas”*
- *“Construct New Kallanka”*
- *“The Solar Cult”*
- *“Reform Religion”*
- *“Temples to Viracocha”*
- *“Imperial Infrastructure”*
- *“Qhapaq Ñan”*
- *“Imperial Frontiers”*
- *“Incan Terracing”*
- *“Idols of our Subjects”*
- *“Among the Mountaintops”*
- *“Navel of the Universe”*
- *“Haucaypata”*
- *“Collect the Mita”*
- *“Sweat of the Sun”*
- *“Tears of the Moon”*
- *“Renovate Cuzco”*
- *“Secondary Capital”*
- *“Incan Weaving”*
- *“Expand into the Jungle”*
- *“Recruit Bowmen”*</v>
      </c>
      <c r="P7" s="49">
        <f>VLOOKUP($G7,List!$A:$U,19,FALSE)</f>
        <v>0</v>
      </c>
    </row>
    <row r="8" spans="1:16" ht="30" customHeight="1" x14ac:dyDescent="0.25">
      <c r="A8" s="45" t="s">
        <v>2032</v>
      </c>
      <c r="B8" s="59" t="s">
        <v>1862</v>
      </c>
      <c r="C8" s="4" t="s">
        <v>573</v>
      </c>
      <c r="D8" s="27">
        <f t="shared" si="0"/>
        <v>443.25</v>
      </c>
      <c r="E8" s="31">
        <f>D8/'Top 10 Hard'!$J$2</f>
        <v>1.1990715818006236E-2</v>
      </c>
      <c r="F8" s="31">
        <f>IF(NOT(ISNUMBER(F7)),0,F7)+Table1[[#This Row],[Points]]/'Top 10 Hard'!$J$2</f>
        <v>0.42350694284763629</v>
      </c>
      <c r="G8" s="59" t="s">
        <v>422</v>
      </c>
      <c r="H8" s="65" t="str">
        <f>IF(VLOOKUP($G8,List!$A:$O,15,FALSE)=0,"",VLOOKUP($G8,List!$A:$O,15,FALSE))</f>
        <v>Y</v>
      </c>
      <c r="I8" s="47" t="str">
        <f>VLOOKUP($G8,List!$A:$U,2,FALSE)</f>
        <v>Form Inca, embrace all Institutions and own all of South America as core 
provinces.</v>
      </c>
      <c r="J8" s="55">
        <f>VLOOKUP($G8,List!$A:$U,3,FALSE)</f>
        <v>1.6E-2</v>
      </c>
      <c r="K8" s="6" t="str">
        <f>VLOOKUP($G8,List!$A:$U,4,FALSE)</f>
        <v>M</v>
      </c>
      <c r="L8" s="50">
        <f>VLOOKUP($G8,List!$A:$U,5,FALSE)</f>
        <v>71</v>
      </c>
      <c r="M8" s="47" t="str">
        <f>VLOOKUP($G8,List!$A:$U,17,FALSE)</f>
        <v>*Not* using a random New World.</v>
      </c>
      <c r="N8" s="50" t="s">
        <v>1823</v>
      </c>
      <c r="O8" s="49" t="str">
        <f>VLOOKUP($G8,List!$A:$U,18,FALSE)</f>
        <v>- Is Inca
- *Not* playing as a released vassal
- Have embraced all institutions
- All provinces in South America are either empty, wasteland, a colony 
or owned and cored Inca.</v>
      </c>
      <c r="P8" s="49" t="str">
        <f>VLOOKUP($G8,List!$A:$U,19,FALSE)</f>
        <v>The Falklands (1095), South Georgia (2025) and Galapagos (2002) are also 
part of South America. It is useful to colonize them before a strong 
colonizer can do it, because these provinces won't become part of a 
colonial nation. This achievement is very hard without El Dorado, but 
pretty easy without it.</v>
      </c>
    </row>
    <row r="9" spans="1:16" ht="30" customHeight="1" x14ac:dyDescent="0.25">
      <c r="A9" s="39" t="s">
        <v>2033</v>
      </c>
      <c r="B9" s="60" t="s">
        <v>1706</v>
      </c>
      <c r="C9" s="4" t="s">
        <v>573</v>
      </c>
      <c r="D9" s="27">
        <f t="shared" si="0"/>
        <v>379.4</v>
      </c>
      <c r="E9" s="31">
        <f>D9/'Top 10 Hard'!$J$2</f>
        <v>1.0263457600341943E-2</v>
      </c>
      <c r="F9" s="31">
        <f>IF(NOT(ISNUMBER(F8)),0,F8)+Table1[[#This Row],[Points]]/'Top 10 Hard'!$J$2</f>
        <v>0.42535999199266378</v>
      </c>
      <c r="G9" s="51" t="s">
        <v>251</v>
      </c>
      <c r="H9" s="64" t="str">
        <f>IF(VLOOKUP($G9,List!$A:$O,15,FALSE)=0,"",VLOOKUP($G9,List!$A:$O,15,FALSE))</f>
        <v>Y</v>
      </c>
      <c r="I9" s="42" t="str">
        <f>VLOOKUP($G9,List!$A:$U,2,FALSE)</f>
        <v>Starting as a Russian nation, By 1600 own the East Siberian Coastline.</v>
      </c>
      <c r="J9" s="54">
        <f>VLOOKUP($G9,List!$A:$U,3,FALSE)</f>
        <v>2.5999999999999999E-2</v>
      </c>
      <c r="K9" s="6" t="str">
        <f>VLOOKUP($G9,List!$A:$U,4,FALSE)</f>
        <v>M</v>
      </c>
      <c r="L9" s="44">
        <f>VLOOKUP($G9,List!$A:$U,5,FALSE)</f>
        <v>68.5</v>
      </c>
      <c r="M9" s="42" t="str">
        <f>VLOOKUP($G9,List!$A:$U,17,FALSE)</f>
        <v>Culture group is *East Slavic*</v>
      </c>
      <c r="N9" s="44" t="s">
        <v>1823</v>
      </c>
      <c r="O9" s="43" t="str">
        <f>VLOOKUP($G9,List!$A:$U,18,FALSE)</f>
        <v>- Year is before 1601
- Own all port provinces in the *East Siberia* region
These provinces are Kamchatka, Penzhina, Kagyrgyn, Gizhiga, Tauisk, Okhotsk 
and Jugjur.</v>
      </c>
      <c r="P9" s="43" t="str">
        <f>VLOOKUP($G9,List!$A:$U,19,FALSE)</f>
        <v>- Note that it is not necessary to core the provinces. Even unfinished 
colonies count.
- This achievement is pretty easy to reach as Muscovy and you can finish 
it 40 to 50 years before the deadline. It is recommended to form Russia 
and take advantage of their Siberian Frontier idea, helping idea groups 
like exploration and expansion will then be optional. But a colonist from 
these groups can be used to start colonies if the time runs out and one of 
the Siberian ports has already been cored or fully colonized.</v>
      </c>
    </row>
    <row r="10" spans="1:16" ht="30" customHeight="1" x14ac:dyDescent="0.25">
      <c r="A10" s="39" t="s">
        <v>2033</v>
      </c>
      <c r="B10" s="60" t="s">
        <v>1706</v>
      </c>
      <c r="C10" s="4" t="s">
        <v>573</v>
      </c>
      <c r="D10" s="27">
        <f t="shared" si="0"/>
        <v>379.4</v>
      </c>
      <c r="E10" s="31">
        <f>D10/'Top 10 Hard'!$J$2</f>
        <v>1.0263457600341943E-2</v>
      </c>
      <c r="F10" s="31">
        <f>IF(NOT(ISNUMBER(F9)),0,F9)+Table1[[#This Row],[Points]]/'Top 10 Hard'!$J$2</f>
        <v>0.4259253748704897</v>
      </c>
      <c r="G10" s="51" t="s">
        <v>110</v>
      </c>
      <c r="H10" s="64" t="str">
        <f>IF(VLOOKUP($G10,List!$A:$O,15,FALSE)=0,"",VLOOKUP($G10,List!$A:$O,15,FALSE))</f>
        <v>Y</v>
      </c>
      <c r="I10" s="42" t="str">
        <f>VLOOKUP($G10,List!$A:$U,2,FALSE)</f>
        <v>Start as a country of Russian culture and form Russia.</v>
      </c>
      <c r="J10" s="54">
        <f>VLOOKUP($G10,List!$A:$U,3,FALSE)</f>
        <v>9.0999999999999998E-2</v>
      </c>
      <c r="K10" s="6" t="str">
        <f>VLOOKUP($G10,List!$A:$U,4,FALSE)</f>
        <v>E</v>
      </c>
      <c r="L10" s="44">
        <f>VLOOKUP($G10,List!$A:$U,5,FALSE)</f>
        <v>20.9</v>
      </c>
      <c r="M10" s="42" t="str">
        <f>VLOOKUP($G10,List!$A:$U,17,FALSE)</f>
        <v>Primary culture is either *Muscovite*, *Ryazanian* or *Novgorodian*</v>
      </c>
      <c r="N10" s="44" t="s">
        <v>1823</v>
      </c>
      <c r="O10" s="43" t="str">
        <f>VLOOKUP($G10,List!$A:$U,18,FALSE)</f>
        <v>Is Russia</v>
      </c>
      <c r="P10" s="43" t="str">
        <f>VLOOKUP($G10,List!$A:$U,19,FALSE)</f>
        <v>Easiest to do as Muscovy.</v>
      </c>
    </row>
    <row r="11" spans="1:16" ht="30" customHeight="1" x14ac:dyDescent="0.25">
      <c r="A11" s="39" t="s">
        <v>2033</v>
      </c>
      <c r="B11" s="60" t="s">
        <v>1706</v>
      </c>
      <c r="C11" s="4" t="s">
        <v>573</v>
      </c>
      <c r="D11" s="27">
        <f t="shared" si="0"/>
        <v>379.4</v>
      </c>
      <c r="E11" s="31">
        <f>D11/'Top 10 Hard'!$J$2</f>
        <v>1.0263457600341943E-2</v>
      </c>
      <c r="F11" s="31">
        <f>IF(NOT(ISNUMBER(F10)),0,F10)+Table1[[#This Row],[Points]]/'Top 10 Hard'!$J$2</f>
        <v>0.43377040044797827</v>
      </c>
      <c r="G11" s="51" t="s">
        <v>588</v>
      </c>
      <c r="H11" s="64" t="str">
        <f>IF(VLOOKUP($G11,List!$A:$O,15,FALSE)=0,"",VLOOKUP($G11,List!$A:$O,15,FALSE))</f>
        <v>Y</v>
      </c>
      <c r="I11" s="42" t="str">
        <f>VLOOKUP($G11,List!$A:$U,2,FALSE)</f>
        <v>Start as Novgorod and control 90% of the trade power in the White Sea 
trade node while it is the highest valued trade node in the world.</v>
      </c>
      <c r="J11" s="54">
        <f>VLOOKUP($G11,List!$A:$U,3,FALSE)</f>
        <v>0.01</v>
      </c>
      <c r="K11" s="6" t="str">
        <f>VLOOKUP($G11,List!$A:$U,4,FALSE)</f>
        <v>VH</v>
      </c>
      <c r="L11" s="44">
        <f>VLOOKUP($G11,List!$A:$U,5,FALSE)</f>
        <v>290</v>
      </c>
      <c r="M11" s="42" t="str">
        <f>VLOOKUP($G11,List!$A:$U,17,FALSE)</f>
        <v>Playing as Novgorod</v>
      </c>
      <c r="N11" s="44" t="s">
        <v>1823</v>
      </c>
      <c r="O11" s="43" t="str">
        <f>VLOOKUP($G11,List!$A:$U,18,FALSE)</f>
        <v>Have 90% trade share in White Sea and it's the highest valued trade node 
in the world.</v>
      </c>
      <c r="P11" s="43" t="str">
        <f>VLOOKUP($G11,List!$A:$U,19,FALSE)</f>
        <v>- Note that "highest valued trade" means Total trade value *minus* 
outgoing trade.
- Not too difficult once you become powerful. You should be able to 
steer most Asian trade towards the white sea. Trade and plutocratic ideas 
can be helpful, but are not necessary : trade companies, the Great Russian 
Federation reform, and monuments like Bam citadel will provide you as many 
merchants as you need. Building manufactories (not workshops) in downstream 
nodes like Girin, Beijing, Yumen, etc. will increase the trade value 
downstream drastically. Note that England gets an event (« The Muscovite 
trade company ») that gives them permanent +20 trade power in the White 
Sea ̦; it can be counterbalanced by building lots of light ships.</v>
      </c>
    </row>
    <row r="12" spans="1:16" ht="30" customHeight="1" x14ac:dyDescent="0.25">
      <c r="A12" s="45" t="s">
        <v>2034</v>
      </c>
      <c r="B12" s="59" t="s">
        <v>1864</v>
      </c>
      <c r="C12" s="4" t="s">
        <v>434</v>
      </c>
      <c r="D12" s="27">
        <f t="shared" si="0"/>
        <v>212</v>
      </c>
      <c r="E12" s="31">
        <f>D12/'Top 10 Hard'!$J$2</f>
        <v>5.7349842152675063E-3</v>
      </c>
      <c r="F12" s="31">
        <f>IF(NOT(ISNUMBER(F11)),0,F11)+Table1[[#This Row],[Points]]/'Top 10 Hard'!$J$2</f>
        <v>0.43765233551821831</v>
      </c>
      <c r="G12" s="52" t="s">
        <v>476</v>
      </c>
      <c r="H12" s="63" t="str">
        <f>IF(VLOOKUP($G12,List!$A:$O,15,FALSE)=0,"",VLOOKUP($G12,List!$A:$O,15,FALSE))</f>
        <v>Y</v>
      </c>
      <c r="I12" s="47" t="str">
        <f>VLOOKUP($G12,List!$A:$U,2,FALSE)</f>
        <v>As the Papacy, own Jerusalem and have Livonian Order, Teutonic Order and 
The Knights as Marches.</v>
      </c>
      <c r="J12" s="55">
        <f>VLOOKUP($G12,List!$A:$U,3,FALSE)</f>
        <v>1.2999999999999999E-2</v>
      </c>
      <c r="K12" s="6" t="str">
        <f>VLOOKUP($G12,List!$A:$U,4,FALSE)</f>
        <v>H</v>
      </c>
      <c r="L12" s="50">
        <f>VLOOKUP($G12,List!$A:$U,5,FALSE)</f>
        <v>143.5</v>
      </c>
      <c r="M12" s="47" t="str">
        <f>VLOOKUP($G12,List!$A:$U,17,FALSE)</f>
        <v>Playing as The Papal State</v>
      </c>
      <c r="N12" s="50" t="s">
        <v>1823</v>
      </c>
      <c r="O12" s="49" t="str">
        <f>VLOOKUP($G12,List!$A:$U,18,FALSE)</f>
        <v>- is The Papal State
- Own and core Jerusalem.
- Have Livonian Order, Teutonic Order and The Knights as marches.</v>
      </c>
      <c r="P12" s="49" t="str">
        <f>VLOOKUP($G12,List!$A:$U,19,FALSE)</f>
        <v>This achievement has several common pitfalls which would make it all but 
impossible to complete it if they happen. The strategy page for this 
achievement has a section which explains them and some ways to get out of 
these situations. The player is advised to read that before attempting the 
achievement.</v>
      </c>
    </row>
    <row r="13" spans="1:16" ht="30" customHeight="1" x14ac:dyDescent="0.25">
      <c r="A13" s="45" t="s">
        <v>2034</v>
      </c>
      <c r="B13" s="59" t="s">
        <v>1864</v>
      </c>
      <c r="C13" s="4" t="s">
        <v>434</v>
      </c>
      <c r="D13" s="27">
        <f t="shared" si="0"/>
        <v>212</v>
      </c>
      <c r="E13" s="31">
        <f>D13/'Top 10 Hard'!$J$2</f>
        <v>5.7349842152675063E-3</v>
      </c>
      <c r="F13" s="31">
        <f>IF(NOT(ISNUMBER(F12)),0,F12)+Table1[[#This Row],[Points]]/'Top 10 Hard'!$J$2</f>
        <v>0.43950538466324579</v>
      </c>
      <c r="G13" s="59" t="s">
        <v>306</v>
      </c>
      <c r="H13" s="65" t="str">
        <f>IF(VLOOKUP($G13,List!$A:$O,15,FALSE)=0,"",VLOOKUP($G13,List!$A:$O,15,FALSE))</f>
        <v>Y</v>
      </c>
      <c r="I13" s="47" t="str">
        <f>VLOOKUP($G13,List!$A:$U,2,FALSE)</f>
        <v>Starting as the Papal State, become the Kingdom of God</v>
      </c>
      <c r="J13" s="55">
        <f>VLOOKUP($G13,List!$A:$U,3,FALSE)</f>
        <v>2.5999999999999999E-2</v>
      </c>
      <c r="K13" s="6" t="str">
        <f>VLOOKUP($G13,List!$A:$U,4,FALSE)</f>
        <v>M</v>
      </c>
      <c r="L13" s="50">
        <f>VLOOKUP($G13,List!$A:$U,5,FALSE)</f>
        <v>68.5</v>
      </c>
      <c r="M13" s="47" t="str">
        <f>VLOOKUP($G13,List!$A:$U,17,FALSE)</f>
        <v>- Playing as The Papal State
- *Not* using a random New World</v>
      </c>
      <c r="N13" s="50" t="s">
        <v>1823</v>
      </c>
      <c r="O13" s="49" t="str">
        <f>VLOOKUP($G13,List!$A:$U,18,FALSE)</f>
        <v>Has enacted the decision Declare the Kingdom of God</v>
      </c>
      <c r="P13" s="49">
        <f>VLOOKUP($G13,List!$A:$U,19,FALSE)</f>
        <v>0</v>
      </c>
    </row>
    <row r="14" spans="1:16" ht="30" customHeight="1" x14ac:dyDescent="0.25">
      <c r="A14" s="39" t="s">
        <v>2035</v>
      </c>
      <c r="B14" s="60" t="s">
        <v>1866</v>
      </c>
      <c r="C14" s="4" t="s">
        <v>573</v>
      </c>
      <c r="D14" s="27">
        <f t="shared" si="0"/>
        <v>492.5</v>
      </c>
      <c r="E14" s="31">
        <f>D14/'Top 10 Hard'!$J$2</f>
        <v>1.3323017575562486E-2</v>
      </c>
      <c r="F14" s="31">
        <f>IF(NOT(ISNUMBER(F13)),0,F13)+Table1[[#This Row],[Points]]/'Top 10 Hard'!$J$2</f>
        <v>0.44694463305569188</v>
      </c>
      <c r="G14" s="51" t="s">
        <v>606</v>
      </c>
      <c r="H14" s="64" t="str">
        <f>IF(VLOOKUP($G14,List!$A:$O,15,FALSE)=0,"",VLOOKUP($G14,List!$A:$O,15,FALSE))</f>
        <v>Y</v>
      </c>
      <c r="I14" s="42" t="str">
        <f>VLOOKUP($G14,List!$A:$U,2,FALSE)</f>
        <v>Start as Ardabil and form Persia or Eranshahr.</v>
      </c>
      <c r="J14" s="54">
        <f>VLOOKUP($G14,List!$A:$U,3,FALSE)</f>
        <v>2.5000000000000001E-2</v>
      </c>
      <c r="K14" s="6" t="str">
        <f>VLOOKUP($G14,List!$A:$U,4,FALSE)</f>
        <v>VH</v>
      </c>
      <c r="L14" s="44">
        <f>VLOOKUP($G14,List!$A:$U,5,FALSE)</f>
        <v>275</v>
      </c>
      <c r="M14" s="42" t="str">
        <f>VLOOKUP($G14,List!$A:$U,17,FALSE)</f>
        <v>Playing as Ardabil</v>
      </c>
      <c r="N14" s="44" t="s">
        <v>1823</v>
      </c>
      <c r="O14" s="43" t="str">
        <f>VLOOKUP($G14,List!$A:$U,18,FALSE)</f>
        <v>- *Not* playing as a released vassal
- Is Persia*or*Eranshahr</v>
      </c>
      <c r="P14" s="43" t="str">
        <f>VLOOKUP($G14,List!$A:$U,19,FALSE)</f>
        <v>It's possible to get Bahmanis in India as an ally by improving relations 
until you can royal marry them (which removes their "Unknown") relations 
modifier. This will deter nearby attackers as you expand opportunistically.</v>
      </c>
    </row>
    <row r="15" spans="1:16" ht="30" customHeight="1" x14ac:dyDescent="0.25">
      <c r="A15" s="39" t="s">
        <v>2035</v>
      </c>
      <c r="B15" s="60" t="s">
        <v>1866</v>
      </c>
      <c r="C15" s="4" t="s">
        <v>573</v>
      </c>
      <c r="D15" s="27">
        <f t="shared" si="0"/>
        <v>492.5</v>
      </c>
      <c r="E15" s="31">
        <f>D15/'Top 10 Hard'!$J$2</f>
        <v>1.3323017575562486E-2</v>
      </c>
      <c r="F15" s="31">
        <f>IF(NOT(ISNUMBER(F14)),0,F14)+Table1[[#This Row],[Points]]/'Top 10 Hard'!$J$2</f>
        <v>0.44893294126240019</v>
      </c>
      <c r="G15" s="51" t="s">
        <v>424</v>
      </c>
      <c r="H15" s="64" t="str">
        <f>IF(VLOOKUP($G15,List!$A:$O,15,FALSE)=0,"",VLOOKUP($G15,List!$A:$O,15,FALSE))</f>
        <v>Y</v>
      </c>
      <c r="I15" s="42" t="str">
        <f>VLOOKUP($G15,List!$A:$U,2,FALSE)</f>
        <v>Complete the Persian mission tree.</v>
      </c>
      <c r="J15" s="54">
        <f>VLOOKUP($G15,List!$A:$U,3,FALSE)</f>
        <v>6.0000000000000001E-3</v>
      </c>
      <c r="K15" s="6" t="str">
        <f>VLOOKUP($G15,List!$A:$U,4,FALSE)</f>
        <v>M</v>
      </c>
      <c r="L15" s="44">
        <f>VLOOKUP($G15,List!$A:$U,5,FALSE)</f>
        <v>73.5</v>
      </c>
      <c r="M15" s="42">
        <f>VLOOKUP($G15,List!$A:$U,17,FALSE)</f>
        <v>0</v>
      </c>
      <c r="N15" s="44" t="s">
        <v>1823</v>
      </c>
      <c r="O15" s="43" t="str">
        <f>VLOOKUP($G15,List!$A:$U,18,FALSE)</f>
        <v>- Complete the Sunni or Shia or Zoroastrian version of the Persian 
missions</v>
      </c>
      <c r="P15" s="43">
        <f>VLOOKUP($G15,List!$A:$U,19,FALSE)</f>
        <v>0</v>
      </c>
    </row>
    <row r="16" spans="1:16" ht="30" customHeight="1" x14ac:dyDescent="0.25">
      <c r="A16" s="39" t="s">
        <v>2035</v>
      </c>
      <c r="B16" s="60" t="s">
        <v>1866</v>
      </c>
      <c r="C16" s="4" t="s">
        <v>434</v>
      </c>
      <c r="D16" s="27">
        <f t="shared" si="0"/>
        <v>492.5</v>
      </c>
      <c r="E16" s="31">
        <f>D16/'Top 10 Hard'!$J$2</f>
        <v>1.3323017575562486E-2</v>
      </c>
      <c r="F16" s="31">
        <f>IF(NOT(ISNUMBER(F15)),0,F15)+Table1[[#This Row],[Points]]/'Top 10 Hard'!$J$2</f>
        <v>0.45282840223880833</v>
      </c>
      <c r="G16" s="51" t="s">
        <v>479</v>
      </c>
      <c r="H16" s="64" t="str">
        <f>IF(VLOOKUP($G16,List!$A:$O,15,FALSE)=0,"",VLOOKUP($G16,List!$A:$O,15,FALSE))</f>
        <v>Y</v>
      </c>
      <c r="I16" s="42" t="str">
        <f>VLOOKUP($G16,List!$A:$U,2,FALSE)</f>
        <v>As a Zoroastrian nation, own all Religious Centers and Monument Baku 
Ateshgah on tier 3.</v>
      </c>
      <c r="J16" s="54">
        <f>VLOOKUP($G16,List!$A:$U,3,FALSE)</f>
        <v>1.2E-2</v>
      </c>
      <c r="K16" s="6" t="str">
        <f>VLOOKUP($G16,List!$A:$U,4,FALSE)</f>
        <v>H</v>
      </c>
      <c r="L16" s="44">
        <f>VLOOKUP($G16,List!$A:$U,5,FALSE)</f>
        <v>144</v>
      </c>
      <c r="M16" s="42">
        <f>VLOOKUP($G16,List!$A:$U,17,FALSE)</f>
        <v>0</v>
      </c>
      <c r="N16" s="44" t="s">
        <v>1823</v>
      </c>
      <c r="O16" s="43" t="str">
        <f>VLOOKUP($G16,List!$A:$U,18,FALSE)</f>
        <v>- Religion is Zoroastrian
- Baku Ateshgah is tier 3
- The following provinces are owned and follow the Zoroastrian faith: 
- Daman (4430)
- Khiva (441)
- Larestan (2223)
- Shirvan (421)
- Tun (4336)
- Zanjan (2212)</v>
      </c>
      <c r="P16" s="43" t="str">
        <f>VLOOKUP($G16,List!$A:$U,19,FALSE)</f>
        <v>Easiest after forming Persia, which can convert to Zoroastrian via mission 
even if no provinces of the religion are left. 
Note that this achievement cannot be combined with Rekindling the Flames 
because it cannot be earned as a Custom Nation, which is required for 
Rekindling the Flames.</v>
      </c>
    </row>
    <row r="17" spans="1:16" ht="30" customHeight="1" x14ac:dyDescent="0.25">
      <c r="A17" s="39" t="s">
        <v>2036</v>
      </c>
      <c r="B17" s="60" t="s">
        <v>1869</v>
      </c>
      <c r="C17" s="4" t="s">
        <v>573</v>
      </c>
      <c r="D17" s="27">
        <f t="shared" si="0"/>
        <v>228.45</v>
      </c>
      <c r="E17" s="31">
        <f>D17/'Top 10 Hard'!$J$2</f>
        <v>6.1799865281974616E-3</v>
      </c>
      <c r="F17" s="31">
        <f>IF(NOT(ISNUMBER(F16)),0,F16)+Table1[[#This Row],[Points]]/'Top 10 Hard'!$J$2</f>
        <v>0.45475584386776025</v>
      </c>
      <c r="G17" s="51" t="s">
        <v>299</v>
      </c>
      <c r="H17" s="64" t="str">
        <f>IF(VLOOKUP($G17,List!$A:$O,15,FALSE)=0,"",VLOOKUP($G17,List!$A:$O,15,FALSE))</f>
        <v>Y</v>
      </c>
      <c r="I17" s="40" t="str">
        <f>VLOOKUP($G17,List!$A:$U,2,FALSE)</f>
        <v>Starting as a custom nation with the full 800 points but no more than 3 
total development, have a monthly income of at least 500 ducats.</v>
      </c>
      <c r="J17" s="56">
        <f>VLOOKUP($G17,List!$A:$U,3,FALSE)</f>
        <v>1.4999999999999999E-2</v>
      </c>
      <c r="K17" s="4" t="str">
        <f>VLOOKUP($G17,List!$A:$U,4,FALSE)</f>
        <v>M</v>
      </c>
      <c r="L17" s="40">
        <f>VLOOKUP($G17,List!$A:$U,5,FALSE)</f>
        <v>71.25</v>
      </c>
      <c r="M17" s="40" t="str">
        <f>VLOOKUP($G17,List!$A:$U,17,FALSE)</f>
        <v>- Playing as a custom nation
- Only 1 custom nation exists in the world
- Used no more than 801 nation designer points
- No more than 3 total development</v>
      </c>
      <c r="N17" s="61" t="s">
        <v>1822</v>
      </c>
      <c r="O17" s="38" t="str">
        <f>VLOOKUP($G17,List!$A:$U,18,FALSE)</f>
        <v>- *Not* playing as a released vassal
- Has at least 500 ducats in income</v>
      </c>
      <c r="P17" s="38" t="str">
        <f>VLOOKUP($G17,List!$A:$U,19,FALSE)</f>
        <v>Despite the description, can be done with fewer than 800 points. Spoils of 
war do not count towards the income; you must make 500 ducats, not 
including Spoils.
It became very easy after Third Rome, due to Siberian frontier ability: 
Start a nation in Americas with Siberian Frontier as a tradition, it will 
allow you to expand in uncolonized regions rapidly. 
Can also be paired with For Odin! and From Humble Origins</v>
      </c>
    </row>
    <row r="18" spans="1:16" ht="30" customHeight="1" x14ac:dyDescent="0.25">
      <c r="A18" s="39" t="s">
        <v>2036</v>
      </c>
      <c r="B18" s="60" t="s">
        <v>1869</v>
      </c>
      <c r="C18" s="4" t="s">
        <v>573</v>
      </c>
      <c r="D18" s="27">
        <f t="shared" si="0"/>
        <v>228.45</v>
      </c>
      <c r="E18" s="31">
        <f>D18/'Top 10 Hard'!$J$2</f>
        <v>6.1799865281974616E-3</v>
      </c>
      <c r="F18" s="31">
        <f>IF(NOT(ISNUMBER(F17)),0,F17)+Table1[[#This Row],[Points]]/'Top 10 Hard'!$J$2</f>
        <v>0.45863777893800028</v>
      </c>
      <c r="G18" s="51" t="s">
        <v>439</v>
      </c>
      <c r="H18" s="64" t="str">
        <f>IF(VLOOKUP($G18,List!$A:$O,15,FALSE)=0,"",VLOOKUP($G18,List!$A:$O,15,FALSE))</f>
        <v>Y</v>
      </c>
      <c r="I18" s="40" t="str">
        <f>VLOOKUP($G18,List!$A:$U,2,FALSE)</f>
        <v>Starting as a Norse custom nation with no more than 200 points and a 
maximum of 5 provinces, own &amp; core Scandinavia and the British Isles and 
convert it all to Norse.</v>
      </c>
      <c r="J18" s="56">
        <f>VLOOKUP($G18,List!$A:$U,3,FALSE)</f>
        <v>1.2999999999999999E-2</v>
      </c>
      <c r="K18" s="4" t="str">
        <f>VLOOKUP($G18,List!$A:$U,4,FALSE)</f>
        <v>H</v>
      </c>
      <c r="L18" s="40">
        <f>VLOOKUP($G18,List!$A:$U,5,FALSE)</f>
        <v>143.5</v>
      </c>
      <c r="M18" s="40" t="str">
        <f>VLOOKUP($G18,List!$A:$U,17,FALSE)</f>
        <v>- Playing as a custom nation
- Only 1 custom nation exists in the world
- Used no more than 201 nation designer points
- No more than 5 provinces
- Religion is Norse</v>
      </c>
      <c r="N18" s="61" t="s">
        <v>1822</v>
      </c>
      <c r="O18" s="38" t="str">
        <f>VLOOKUP($G18,List!$A:$U,18,FALSE)</f>
        <v>- *Not* playing as a released vassal
- Religion is Norse
- Own and core all provinces in Britain and Scandinavia.
- All provinces in Britain and Scandinavia have Norse religion.
Britain and Scandinavia</v>
      </c>
      <c r="P18" s="38" t="str">
        <f>VLOOKUP($G18,List!$A:$U,19,FALSE)</f>
        <v>Can also be paired with From Humble Origins and Ideas Guy</v>
      </c>
    </row>
    <row r="19" spans="1:16" ht="30" customHeight="1" x14ac:dyDescent="0.25">
      <c r="A19" s="45" t="s">
        <v>2036</v>
      </c>
      <c r="B19" s="59" t="s">
        <v>1871</v>
      </c>
      <c r="C19" s="4" t="s">
        <v>434</v>
      </c>
      <c r="D19" s="27">
        <f t="shared" si="0"/>
        <v>228.45</v>
      </c>
      <c r="E19" s="31">
        <f>D19/'Top 10 Hard'!$J$2</f>
        <v>6.1799865281974616E-3</v>
      </c>
      <c r="F19" s="31">
        <f>IF(NOT(ISNUMBER(F18)),0,F18)+Table1[[#This Row],[Points]]/'Top 10 Hard'!$J$2</f>
        <v>0.45900838876700578</v>
      </c>
      <c r="G19" s="52" t="s">
        <v>22</v>
      </c>
      <c r="H19" s="63" t="str">
        <f>IF(VLOOKUP($G19,List!$A:$O,15,FALSE)=0,"",VLOOKUP($G19,List!$A:$O,15,FALSE))</f>
        <v>Y</v>
      </c>
      <c r="I19" s="46" t="str">
        <f>VLOOKUP($G19,List!$A:$U,2,FALSE)</f>
        <v>Scornfully insult 10 nations that border you.</v>
      </c>
      <c r="J19" s="57">
        <f>VLOOKUP($G19,List!$A:$U,3,FALSE)</f>
        <v>2.5999999999999999E-2</v>
      </c>
      <c r="K19" s="4" t="str">
        <f>VLOOKUP($G19,List!$A:$U,4,FALSE)</f>
        <v>VE</v>
      </c>
      <c r="L19" s="46">
        <f>VLOOKUP($G19,List!$A:$U,5,FALSE)</f>
        <v>13.7</v>
      </c>
      <c r="M19" s="46" t="str">
        <f>VLOOKUP($G19,List!$A:$U,17,FALSE)</f>
        <v>- No more than 1 custom nation exists in the world
- Used no more than 201 nation designer points</v>
      </c>
      <c r="N19" s="62" t="s">
        <v>1823</v>
      </c>
      <c r="O19" s="48" t="str">
        <f>VLOOKUP($G19,List!$A:$U,18,FALSE)</f>
        <v>- At least 10 neighbouring countries have the *“Scornfully Insulted”* 
opinion modifier towards you</v>
      </c>
      <c r="P19" s="48" t="str">
        <f>VLOOKUP($G19,List!$A:$U,19,FALSE)</f>
        <v>The 10 countries must all have the opinion modifier at the same time. 
Lithuania borders 11 nations at the start of game. Very easy in 1.32. Keep 
giving the burgers the Patronage of the Arts privilege then revoke it and 
give it again. Giving it three times puts you over 50 prestige. Then 
scornfully insult 10 of Lithuania's 11 neighbours.</v>
      </c>
    </row>
    <row r="20" spans="1:16" ht="30" customHeight="1" x14ac:dyDescent="0.25">
      <c r="A20" s="45" t="s">
        <v>2037</v>
      </c>
      <c r="B20" s="59" t="s">
        <v>1782</v>
      </c>
      <c r="C20" s="4" t="s">
        <v>2024</v>
      </c>
      <c r="D20" s="27">
        <f t="shared" si="0"/>
        <v>174.35</v>
      </c>
      <c r="E20" s="31">
        <f>D20/'Top 10 Hard'!$J$2</f>
        <v>4.7164834808108005E-3</v>
      </c>
      <c r="F20" s="31">
        <f>IF(NOT(ISNUMBER(F19)),0,F19)+Table1[[#This Row],[Points]]/'Top 10 Hard'!$J$2</f>
        <v>0.4609358303959577</v>
      </c>
      <c r="G20" s="52" t="s">
        <v>357</v>
      </c>
      <c r="H20" s="63" t="str">
        <f>IF(VLOOKUP($G20,List!$A:$O,15,FALSE)=0,"",VLOOKUP($G20,List!$A:$O,15,FALSE))</f>
        <v>Y</v>
      </c>
      <c r="I20" s="46" t="str">
        <f>VLOOKUP($G20,List!$A:$U,2,FALSE)</f>
        <v>As the Mamluks, have 100 Army Professionalism and annex the Ottomans.</v>
      </c>
      <c r="J20" s="57">
        <f>VLOOKUP($G20,List!$A:$U,3,FALSE)</f>
        <v>1.4999999999999999E-2</v>
      </c>
      <c r="K20" s="4" t="str">
        <f>VLOOKUP($G20,List!$A:$U,4,FALSE)</f>
        <v>M</v>
      </c>
      <c r="L20" s="46">
        <f>VLOOKUP($G20,List!$A:$U,5,FALSE)</f>
        <v>71.25</v>
      </c>
      <c r="M20" s="46" t="str">
        <f>VLOOKUP($G20,List!$A:$U,17,FALSE)</f>
        <v>Playing as Mamluks</v>
      </c>
      <c r="N20" s="62" t="s">
        <v>1823</v>
      </c>
      <c r="O20" s="48" t="str">
        <f>VLOOKUP($G20,List!$A:$U,18,FALSE)</f>
        <v>- Have *100* Army Professionalism
- Ottomans does *not* exist
- Own and core Edirne (149), Constantinople (151), Hüdavendigar (317), 
and Ankara (326)</v>
      </c>
      <c r="P20" s="48" t="str">
        <f>VLOOKUP($G20,List!$A:$U,19,FALSE)</f>
        <v>Be sure to attack the Ottomans early or at least cut them off from further 
expansion into Arabia and the Caucasus. You also don't need to have 100% 
professionalism at the time of annexing the Ottomans. You can just build up 
to that number later.</v>
      </c>
    </row>
    <row r="21" spans="1:16" ht="30" customHeight="1" x14ac:dyDescent="0.25">
      <c r="A21" s="45" t="s">
        <v>2037</v>
      </c>
      <c r="B21" s="59" t="s">
        <v>1782</v>
      </c>
      <c r="C21" s="4" t="s">
        <v>573</v>
      </c>
      <c r="D21" s="27">
        <f t="shared" si="0"/>
        <v>174.35</v>
      </c>
      <c r="E21" s="31">
        <f>D21/'Top 10 Hard'!$J$2</f>
        <v>4.7164834808108005E-3</v>
      </c>
      <c r="F21" s="31">
        <f>IF(NOT(ISNUMBER(F20)),0,F20)+Table1[[#This Row],[Points]]/'Top 10 Hard'!$J$2</f>
        <v>0.46292413860266601</v>
      </c>
      <c r="G21" s="52" t="s">
        <v>253</v>
      </c>
      <c r="H21" s="63" t="str">
        <f>IF(VLOOKUP($G21,List!$A:$O,15,FALSE)=0,"",VLOOKUP($G21,List!$A:$O,15,FALSE))</f>
        <v>Y</v>
      </c>
      <c r="I21" s="46" t="str">
        <f>VLOOKUP($G21,List!$A:$U,2,FALSE)</f>
        <v>As a Jewish nation, convert all of Egypt to Jewish while having the Jewish 
Community Aspect active.</v>
      </c>
      <c r="J21" s="57">
        <f>VLOOKUP($G21,List!$A:$U,3,FALSE)</f>
        <v>6.0000000000000001E-3</v>
      </c>
      <c r="K21" s="4" t="str">
        <f>VLOOKUP($G21,List!$A:$U,4,FALSE)</f>
        <v>M</v>
      </c>
      <c r="L21" s="46">
        <f>VLOOKUP($G21,List!$A:$U,5,FALSE)</f>
        <v>73.5</v>
      </c>
      <c r="M21" s="46">
        <f>VLOOKUP($G21,List!$A:$U,17,FALSE)</f>
        <v>0</v>
      </c>
      <c r="N21" s="62" t="s">
        <v>1823</v>
      </c>
      <c r="O21" s="48" t="str">
        <f>VLOOKUP($G21,List!$A:$U,18,FALSE)</f>
        <v>- Religion is Jewish
- The church aspect “*Jewish Community*” is active
- All provinces in the Egypt region are Jewish</v>
      </c>
      <c r="P21" s="48" t="str">
        <f>VLOOKUP($G21,List!$A:$U,19,FALSE)</f>
        <v>Easiest to do as Mamluks. Conquer Semien (and Dembiya) in Ethiopia and 
immediately send a missionary with 0 maintenance to switch the rebels to 
Jewish Zealots (before the previous rebel type in the province has reached 
30% progress). Let the rebels spawn and let them convert the country. Once 
Jewish has become the dominant religion, the rebel demands will also 
include to change the state religion. Then the demands can be accepted, but 
it might be beneficial to let them convert more provinces. After becoming 
Jewish, finish converting Egypt and choose Jewish Community as your first 
aspect.</v>
      </c>
    </row>
    <row r="22" spans="1:16" ht="30" customHeight="1" x14ac:dyDescent="0.25">
      <c r="A22" s="45" t="s">
        <v>2037</v>
      </c>
      <c r="B22" s="59" t="s">
        <v>1782</v>
      </c>
      <c r="C22" s="4" t="s">
        <v>573</v>
      </c>
      <c r="D22" s="27">
        <f t="shared" si="0"/>
        <v>174.35</v>
      </c>
      <c r="E22" s="31">
        <f>D22/'Top 10 Hard'!$J$2</f>
        <v>4.7164834808108005E-3</v>
      </c>
      <c r="F22" s="31">
        <f>IF(NOT(ISNUMBER(F21)),0,F21)+Table1[[#This Row],[Points]]/'Top 10 Hard'!$J$2</f>
        <v>0.46372487224781656</v>
      </c>
      <c r="G22" s="52" t="s">
        <v>237</v>
      </c>
      <c r="H22" s="63" t="str">
        <f>IF(VLOOKUP($G22,List!$A:$O,15,FALSE)=0,"",VLOOKUP($G22,List!$A:$O,15,FALSE))</f>
        <v>Y</v>
      </c>
      <c r="I22" s="46" t="str">
        <f>VLOOKUP($G22,List!$A:$U,2,FALSE)</f>
        <v>As the Mamluks, export grain to every continent at least once.</v>
      </c>
      <c r="J22" s="57">
        <f>VLOOKUP($G22,List!$A:$U,3,FALSE)</f>
        <v>4.0000000000000001E-3</v>
      </c>
      <c r="K22" s="4" t="str">
        <f>VLOOKUP($G22,List!$A:$U,4,FALSE)</f>
        <v>E</v>
      </c>
      <c r="L22" s="46">
        <f>VLOOKUP($G22,List!$A:$U,5,FALSE)</f>
        <v>29.6</v>
      </c>
      <c r="M22" s="46">
        <f>VLOOKUP($G22,List!$A:$U,17,FALSE)</f>
        <v>0</v>
      </c>
      <c r="N22" s="62" t="s">
        <v>1823</v>
      </c>
      <c r="O22" s="48" t="str">
        <f>VLOOKUP($G22,List!$A:$U,18,FALSE)</f>
        <v>- Is *or* was the Mamluks
- Has used the "Export Grain" diplomatic action on at least one country 
on each of the following continents:
- 
- Europe
- Oceania
- North America
- South America
- Africa
- Asia</v>
      </c>
      <c r="P22" s="48" t="str">
        <f>VLOOKUP($G22,List!$A:$U,19,FALSE)</f>
        <v>The country's continent is determined based on the location of its capital. 
To use "Export grain", the target must be a subject or ally of the Mamluks. 
This can be an issue in the colonial regions. Its thus recommended to 
colonize yourself.</v>
      </c>
    </row>
    <row r="23" spans="1:16" ht="30" customHeight="1" x14ac:dyDescent="0.25">
      <c r="A23" s="39" t="s">
        <v>2038</v>
      </c>
      <c r="B23" s="60" t="s">
        <v>1781</v>
      </c>
      <c r="C23" s="4" t="s">
        <v>242</v>
      </c>
      <c r="D23" s="27">
        <f t="shared" si="0"/>
        <v>145</v>
      </c>
      <c r="E23" s="31">
        <f>D23/'Top 10 Hard'!$J$2</f>
        <v>3.9225127887442856E-3</v>
      </c>
      <c r="F23" s="31">
        <f>IF(NOT(ISNUMBER(F22)),0,F22)+Table1[[#This Row],[Points]]/'Top 10 Hard'!$J$2</f>
        <v>0.46571318045452487</v>
      </c>
      <c r="G23" s="51" t="s">
        <v>314</v>
      </c>
      <c r="H23" s="64" t="str">
        <f>IF(VLOOKUP($G23,List!$A:$O,15,FALSE)=0,"",VLOOKUP($G23,List!$A:$O,15,FALSE))</f>
        <v>Y</v>
      </c>
      <c r="I23" s="40" t="str">
        <f>VLOOKUP($G23,List!$A:$U,2,FALSE)</f>
        <v>As Mali, give 10k ducats away to another great power without having a 
single loan or being bankrupt.</v>
      </c>
      <c r="J23" s="56">
        <f>VLOOKUP($G23,List!$A:$U,3,FALSE)</f>
        <v>6.0000000000000001E-3</v>
      </c>
      <c r="K23" s="4" t="str">
        <f>VLOOKUP($G23,List!$A:$U,4,FALSE)</f>
        <v>M</v>
      </c>
      <c r="L23" s="40">
        <f>VLOOKUP($G23,List!$A:$U,5,FALSE)</f>
        <v>73.5</v>
      </c>
      <c r="M23" s="40" t="str">
        <f>VLOOKUP($G23,List!$A:$U,17,FALSE)</f>
        <v>Playing as Mali</v>
      </c>
      <c r="N23" s="61" t="s">
        <v>1823</v>
      </c>
      <c r="O23" s="38" t="str">
        <f>VLOOKUP($G23,List!$A:$U,18,FALSE)</f>
        <v>- Is Mali
- Has given at least 10k ducats to a great power with a single use of 
the diplomatic action Send gift
- Has no loans
- Is not bankrupt</v>
      </c>
      <c r="P23" s="38" t="str">
        <f>VLOOKUP($G23,List!$A:$U,19,FALSE)</f>
        <v>This achievement is only visible if the Origins DLC is active, but it is 
possible to get the achievement without that DLC.</v>
      </c>
    </row>
    <row r="24" spans="1:16" ht="30" customHeight="1" x14ac:dyDescent="0.25">
      <c r="A24" s="39" t="s">
        <v>2038</v>
      </c>
      <c r="B24" s="60" t="s">
        <v>1781</v>
      </c>
      <c r="C24" s="4" t="s">
        <v>242</v>
      </c>
      <c r="D24" s="27">
        <f t="shared" si="0"/>
        <v>145</v>
      </c>
      <c r="E24" s="31">
        <f>D24/'Top 10 Hard'!$J$2</f>
        <v>3.9225127887442856E-3</v>
      </c>
      <c r="F24" s="31">
        <f>IF(NOT(ISNUMBER(F23)),0,F23)+Table1[[#This Row],[Points]]/'Top 10 Hard'!$J$2</f>
        <v>0.46764738503656084</v>
      </c>
      <c r="G24" s="51" t="s">
        <v>243</v>
      </c>
      <c r="H24" s="64" t="str">
        <f>IF(VLOOKUP($G24,List!$A:$O,15,FALSE)=0,"",VLOOKUP($G24,List!$A:$O,15,FALSE))</f>
        <v>Y</v>
      </c>
      <c r="I24" s="40" t="str">
        <f>VLOOKUP($G24,List!$A:$U,2,FALSE)</f>
        <v>Start as Mali and have 4 Colonial Subjects in South America.</v>
      </c>
      <c r="J24" s="56">
        <f>VLOOKUP($G24,List!$A:$U,3,FALSE)</f>
        <v>1.4E-2</v>
      </c>
      <c r="K24" s="4" t="str">
        <f>VLOOKUP($G24,List!$A:$U,4,FALSE)</f>
        <v>M</v>
      </c>
      <c r="L24" s="40">
        <f>VLOOKUP($G24,List!$A:$U,5,FALSE)</f>
        <v>71.5</v>
      </c>
      <c r="M24" s="40" t="str">
        <f>VLOOKUP($G24,List!$A:$U,17,FALSE)</f>
        <v>Playing as Mali</v>
      </c>
      <c r="N24" s="61" t="s">
        <v>1823</v>
      </c>
      <c r="O24" s="38" t="str">
        <f>VLOOKUP($G24,List!$A:$U,18,FALSE)</f>
        <v>Have 4 colonial nations based in the continent of South America</v>
      </c>
      <c r="P24" s="38" t="str">
        <f>VLOOKUP($G24,List!$A:$U,19,FALSE)</f>
        <v>All 4 colonies must have their capital on the South American continent. 
Colonial Colombia is partially in South America and North America and 
colonizing the NA lands may result in their capital being in NA.</v>
      </c>
    </row>
    <row r="25" spans="1:16" ht="30" customHeight="1" x14ac:dyDescent="0.25">
      <c r="A25" s="39" t="s">
        <v>2039</v>
      </c>
      <c r="B25" s="60" t="s">
        <v>1899</v>
      </c>
      <c r="C25" s="4" t="s">
        <v>573</v>
      </c>
      <c r="D25" s="27">
        <f t="shared" si="0"/>
        <v>436</v>
      </c>
      <c r="E25" s="31">
        <f>D25/'Top 10 Hard'!$J$2</f>
        <v>1.1794590178569023E-2</v>
      </c>
      <c r="F25" s="31">
        <f>IF(NOT(ISNUMBER(F24)),0,F24)+Table1[[#This Row],[Points]]/'Top 10 Hard'!$J$2</f>
        <v>0.47159694963764132</v>
      </c>
      <c r="G25" s="51" t="s">
        <v>541</v>
      </c>
      <c r="H25" s="64" t="str">
        <f>IF(VLOOKUP($G25,List!$A:$O,15,FALSE)=0,"",VLOOKUP($G25,List!$A:$O,15,FALSE))</f>
        <v>Y</v>
      </c>
      <c r="I25" s="40" t="str">
        <f>VLOOKUP($G25,List!$A:$U,2,FALSE)</f>
        <v>As Kandy be production leader in Cotton.</v>
      </c>
      <c r="J25" s="56">
        <f>VLOOKUP($G25,List!$A:$U,3,FALSE)</f>
        <v>8.0000000000000002E-3</v>
      </c>
      <c r="K25" s="4" t="str">
        <f>VLOOKUP($G25,List!$A:$U,4,FALSE)</f>
        <v>H</v>
      </c>
      <c r="L25" s="40">
        <f>VLOOKUP($G25,List!$A:$U,5,FALSE)</f>
        <v>146</v>
      </c>
      <c r="M25" s="40" t="str">
        <f>VLOOKUP($G25,List!$A:$U,17,FALSE)</f>
        <v>Playing as Kandy</v>
      </c>
      <c r="N25" s="61" t="s">
        <v>1823</v>
      </c>
      <c r="O25" s="38" t="str">
        <f>VLOOKUP($G25,List!$A:$U,18,FALSE)</f>
        <v>- Is Kandy
- Be production leader of cotton</v>
      </c>
      <c r="P25" s="38" t="str">
        <f>VLOOKUP($G25,List!$A:$U,19,FALSE)</f>
        <v>The Indian sub-continent already has the highest concentration of 
cotton-producing provinces in the game, so this achievement is best 
partnered with The Buddhists Strike Back.</v>
      </c>
    </row>
    <row r="26" spans="1:16" ht="30" customHeight="1" x14ac:dyDescent="0.25">
      <c r="A26" s="39" t="s">
        <v>2039</v>
      </c>
      <c r="B26" s="60" t="s">
        <v>1899</v>
      </c>
      <c r="C26" s="4" t="s">
        <v>573</v>
      </c>
      <c r="D26" s="27">
        <f t="shared" si="0"/>
        <v>436</v>
      </c>
      <c r="E26" s="31">
        <f>D26/'Top 10 Hard'!$J$2</f>
        <v>1.1794590178569023E-2</v>
      </c>
      <c r="F26" s="31">
        <f>IF(NOT(ISNUMBER(F25)),0,F25)+Table1[[#This Row],[Points]]/'Top 10 Hard'!$J$2</f>
        <v>0.47944197521512988</v>
      </c>
      <c r="G26" s="51" t="s">
        <v>611</v>
      </c>
      <c r="H26" s="64" t="str">
        <f>IF(VLOOKUP($G26,List!$A:$O,15,FALSE)=0,"",VLOOKUP($G26,List!$A:$O,15,FALSE))</f>
        <v>Y</v>
      </c>
      <c r="I26" s="40" t="str">
        <f>VLOOKUP($G26,List!$A:$U,2,FALSE)</f>
        <v>As Kotte or Kandy, own all of India and convert it to Theravada Buddhism.</v>
      </c>
      <c r="J26" s="56">
        <f>VLOOKUP($G26,List!$A:$U,3,FALSE)</f>
        <v>0.01</v>
      </c>
      <c r="K26" s="4" t="str">
        <f>VLOOKUP($G26,List!$A:$U,4,FALSE)</f>
        <v>VH</v>
      </c>
      <c r="L26" s="40">
        <f>VLOOKUP($G26,List!$A:$U,5,FALSE)</f>
        <v>290</v>
      </c>
      <c r="M26" s="40" t="str">
        <f>VLOOKUP($G26,List!$A:$U,17,FALSE)</f>
        <v>Playing as *either*: 
- Kotte
- Kandy</v>
      </c>
      <c r="N26" s="61" t="s">
        <v>1823</v>
      </c>
      <c r="O26" s="38" t="str">
        <f>VLOOKUP($G26,List!$A:$U,18,FALSE)</f>
        <v>- *Not* playing as a released vassal
- Own and core all of the provinces in the Indian sub-continent.
- All of the provinces in the Indian sub-continent are Theravada</v>
      </c>
      <c r="P26" s="38" t="str">
        <f>VLOOKUP($G26,List!$A:$U,19,FALSE)</f>
        <v>Taking the province of Pataliputra will give an extra missionary. The 
monuments Bagan Temples and Buddha Statues give additional missionaries. If 
playing as Kandy, you'll likely also get the achievement Cotton Kandy.</v>
      </c>
    </row>
    <row r="27" spans="1:16" ht="30" customHeight="1" x14ac:dyDescent="0.25">
      <c r="A27" s="39" t="s">
        <v>2040</v>
      </c>
      <c r="B27" s="60" t="s">
        <v>1880</v>
      </c>
      <c r="C27" s="4" t="s">
        <v>573</v>
      </c>
      <c r="D27" s="27">
        <f t="shared" si="0"/>
        <v>297</v>
      </c>
      <c r="E27" s="31">
        <f>D27/'Top 10 Hard'!$J$2</f>
        <v>8.0343882638417435E-3</v>
      </c>
      <c r="F27" s="31">
        <f>IF(NOT(ISNUMBER(F26)),0,F26)+Table1[[#This Row],[Points]]/'Top 10 Hard'!$J$2</f>
        <v>0.48747636347897161</v>
      </c>
      <c r="G27" s="51" t="s">
        <v>599</v>
      </c>
      <c r="H27" s="64" t="str">
        <f>IF(VLOOKUP($G27,List!$A:$O,15,FALSE)=0,"",VLOOKUP($G27,List!$A:$O,15,FALSE))</f>
        <v>Y</v>
      </c>
      <c r="I27" s="40" t="str">
        <f>VLOOKUP($G27,List!$A:$U,2,FALSE)</f>
        <v>As Quizquiz, have your capital in the Anjou province.</v>
      </c>
      <c r="J27" s="56">
        <f>VLOOKUP($G27,List!$A:$U,3,FALSE)</f>
        <v>3.0000000000000001E-3</v>
      </c>
      <c r="K27" s="4" t="str">
        <f>VLOOKUP($G27,List!$A:$U,4,FALSE)</f>
        <v>VH</v>
      </c>
      <c r="L27" s="40">
        <f>VLOOKUP($G27,List!$A:$U,5,FALSE)</f>
        <v>297</v>
      </c>
      <c r="M27" s="40" t="str">
        <f>VLOOKUP($G27,List!$A:$U,17,FALSE)</f>
        <v>- Playing as Quizquiz
- *Not* using a random New World</v>
      </c>
      <c r="N27" s="61" t="s">
        <v>1823</v>
      </c>
      <c r="O27" s="38" t="str">
        <f>VLOOKUP($G27,List!$A:$U,18,FALSE)</f>
        <v>- Is Quizquiz
- Capital is Anjou (178)</v>
      </c>
      <c r="P27" s="38" t="str">
        <f>VLOOKUP($G27,List!$A:$U,19,FALSE)</f>
        <v>This achievement is only visible if the Leviathan DLC is active, but it can 
be achieved even without the DLC.</v>
      </c>
    </row>
    <row r="28" spans="1:16" ht="30" customHeight="1" x14ac:dyDescent="0.25">
      <c r="A28" s="39" t="s">
        <v>2041</v>
      </c>
      <c r="B28" s="60" t="s">
        <v>1905</v>
      </c>
      <c r="C28" s="4" t="s">
        <v>434</v>
      </c>
      <c r="D28" s="27">
        <f t="shared" si="0"/>
        <v>145.5</v>
      </c>
      <c r="E28" s="31">
        <f>D28/'Top 10 Hard'!$J$2</f>
        <v>3.9360386949123692E-3</v>
      </c>
      <c r="F28" s="31">
        <f>IF(NOT(ISNUMBER(F27)),0,F27)+Table1[[#This Row],[Points]]/'Top 10 Hard'!$J$2</f>
        <v>0.49141240217388399</v>
      </c>
      <c r="G28" s="51" t="s">
        <v>547</v>
      </c>
      <c r="H28" s="64" t="str">
        <f>IF(VLOOKUP($G28,List!$A:$O,15,FALSE)=0,"",VLOOKUP($G28,List!$A:$O,15,FALSE))</f>
        <v>Y</v>
      </c>
      <c r="I28" s="40" t="str">
        <f>VLOOKUP($G28,List!$A:$U,2,FALSE)</f>
        <v>As Trebizond, have the Empire government rank.</v>
      </c>
      <c r="J28" s="56">
        <f>VLOOKUP($G28,List!$A:$U,3,FALSE)</f>
        <v>8.9999999999999993E-3</v>
      </c>
      <c r="K28" s="4" t="str">
        <f>VLOOKUP($G28,List!$A:$U,4,FALSE)</f>
        <v>H</v>
      </c>
      <c r="L28" s="40">
        <f>VLOOKUP($G28,List!$A:$U,5,FALSE)</f>
        <v>145.5</v>
      </c>
      <c r="M28" s="40" t="str">
        <f>VLOOKUP($G28,List!$A:$U,17,FALSE)</f>
        <v>Playing as Trebizond</v>
      </c>
      <c r="N28" s="61" t="s">
        <v>1823</v>
      </c>
      <c r="O28" s="38" t="str">
        <f>VLOOKUP($G28,List!$A:$U,18,FALSE)</f>
        <v>- *Not* playing as a released vassal
- Is Trebizond
- Is empire</v>
      </c>
      <c r="P28" s="38" t="str">
        <f>VLOOKUP($G28,List!$A:$U,19,FALSE)</f>
        <v>Possible tactics include trying to become the emperor of the HRE or 
culture-shifting to Bulgarian and enacting Bulgarian Tsardom government, as 
these will immediately make you an empire.</v>
      </c>
    </row>
    <row r="29" spans="1:16" ht="30" customHeight="1" x14ac:dyDescent="0.25">
      <c r="A29" s="39" t="s">
        <v>2043</v>
      </c>
      <c r="B29" s="60" t="s">
        <v>1754</v>
      </c>
      <c r="C29" s="4" t="s">
        <v>242</v>
      </c>
      <c r="D29" s="27">
        <f t="shared" si="0"/>
        <v>73</v>
      </c>
      <c r="E29" s="31">
        <f>D29/'Top 10 Hard'!$J$2</f>
        <v>1.9747823005402264E-3</v>
      </c>
      <c r="F29" s="31">
        <f>IF(NOT(ISNUMBER(F28)),0,F28)+Table1[[#This Row],[Points]]/'Top 10 Hard'!$J$2</f>
        <v>0.4933871844744242</v>
      </c>
      <c r="G29" s="51" t="s">
        <v>248</v>
      </c>
      <c r="H29" s="64" t="str">
        <f>IF(VLOOKUP($G29,List!$A:$O,15,FALSE)=0,"",VLOOKUP($G29,List!$A:$O,15,FALSE))</f>
        <v>Y</v>
      </c>
      <c r="I29" s="40" t="str">
        <f>VLOOKUP($G29,List!$A:$U,2,FALSE)</f>
        <v>Starting as Dai Viet, have 10 nations follow the Mahayana Faith by 1500.</v>
      </c>
      <c r="J29" s="56">
        <f>VLOOKUP($G29,List!$A:$U,3,FALSE)</f>
        <v>8.0000000000000002E-3</v>
      </c>
      <c r="K29" s="4" t="str">
        <f>VLOOKUP($G29,List!$A:$U,4,FALSE)</f>
        <v>M</v>
      </c>
      <c r="L29" s="40">
        <f>VLOOKUP($G29,List!$A:$U,5,FALSE)</f>
        <v>73</v>
      </c>
      <c r="M29" s="40" t="str">
        <f>VLOOKUP($G29,List!$A:$U,17,FALSE)</f>
        <v>Playing as Dai Viet</v>
      </c>
      <c r="N29" s="61" t="s">
        <v>1823</v>
      </c>
      <c r="O29" s="38" t="str">
        <f>VLOOKUP($G29,List!$A:$U,18,FALSE)</f>
        <v>- The year is before 1500
- At least 10 nations follow the Mahayana faith</v>
      </c>
      <c r="P29" s="38" t="str">
        <f>VLOOKUP($G29,List!$A:$U,19,FALSE)</f>
        <v>- Note that the player's country itself does count.
- Pahang and Pangasinan already start as Mahayana and Dai Viet itself 
also counts, effectively bringing down the requirement to 7, and the 
Philippine islands are an excellent place to start forcing conversions.</v>
      </c>
    </row>
    <row r="30" spans="1:16" ht="30" customHeight="1" x14ac:dyDescent="0.25">
      <c r="A30" s="39" t="s">
        <v>2042</v>
      </c>
      <c r="B30" s="60" t="s">
        <v>1863</v>
      </c>
      <c r="C30" s="4" t="s">
        <v>434</v>
      </c>
      <c r="D30" s="27">
        <f t="shared" si="0"/>
        <v>148.5</v>
      </c>
      <c r="E30" s="31">
        <f>D30/'Top 10 Hard'!$J$2</f>
        <v>4.0171941319208718E-3</v>
      </c>
      <c r="F30" s="31">
        <f>IF(NOT(ISNUMBER(F29)),0,F29)+Table1[[#This Row],[Points]]/'Top 10 Hard'!$J$2</f>
        <v>0.49740437860634507</v>
      </c>
      <c r="G30" s="51" t="s">
        <v>531</v>
      </c>
      <c r="H30" s="64" t="str">
        <f>IF(VLOOKUP($G30,List!$A:$O,15,FALSE)=0,"",VLOOKUP($G30,List!$A:$O,15,FALSE))</f>
        <v>Y</v>
      </c>
      <c r="I30" s="42" t="str">
        <f>VLOOKUP($G30,List!$A:$U,2,FALSE)</f>
        <v>As Russia, be the Emperor of China and the HRE.</v>
      </c>
      <c r="J30" s="54">
        <f>VLOOKUP($G30,List!$A:$U,3,FALSE)</f>
        <v>3.0000000000000001E-3</v>
      </c>
      <c r="K30" s="6" t="str">
        <f>VLOOKUP($G30,List!$A:$U,4,FALSE)</f>
        <v>H</v>
      </c>
      <c r="L30" s="44">
        <f>VLOOKUP($G30,List!$A:$U,5,FALSE)</f>
        <v>148.5</v>
      </c>
      <c r="M30" s="42">
        <f>VLOOKUP($G30,List!$A:$U,17,FALSE)</f>
        <v>0</v>
      </c>
      <c r="N30" s="44" t="s">
        <v>1823</v>
      </c>
      <c r="O30" s="43" t="str">
        <f>VLOOKUP($G30,List!$A:$U,18,FALSE)</f>
        <v>- Is Russia
- Is Emperor of China
- Is the emperor of the Holy Roman Empire</v>
      </c>
      <c r="P30" s="43" t="str">
        <f>VLOOKUP($G30,List!$A:$U,19,FALSE)</f>
        <v>To be Emperor of China, you must be in the Pagan or Eastern religion group, 
whilst to be the HRE Emperor, you generally must be Catholic unless Protestants 
won the league war, or sometimes other Christian denominations given 
specific circumstances (see League war), so a religion switch will be 
necessary to complete the achievement. Switching to a non-Christian 
religion as HRE Emperor will cause the emperorship to be lost unless the 
Erbkaisertum reform has been passed, while changing religion as Emperor of 
China allows you to retain the title. As such, it may be easiest to start 
as an atypical nation to form Russia such as Oirat, which starts off as Tengri 
and can use horde mechanics to relatively easily expand into the 
territories needed to form Russia. It is recommended to not seize the 
mandate until the needed provinces are conquered since seizing the mandate 
will change your government to Celestial Empire and disable horde 
mechanics. At this point, culture shift to Muscovite, Novgorodian or 
Ryazanian culture and form Russia once you hit admin tech 10. At some point 
you will need to conquer a Catholic province, perhaps from the Scandinavian 
or the Baltic regions, which will allow you to convert to Catholic via 
rebels. After seizing the Mandate of Heaven, convert to Catholicism, then 
ally or vassalize enough HRE electors to get yourself elected Holy Roman 
Emperor.</v>
      </c>
    </row>
    <row r="31" spans="1:16" ht="30" customHeight="1" x14ac:dyDescent="0.25">
      <c r="A31" s="39" t="s">
        <v>1920</v>
      </c>
      <c r="B31" s="60" t="s">
        <v>1908</v>
      </c>
      <c r="C31" s="4" t="s">
        <v>573</v>
      </c>
      <c r="D31" s="27">
        <f t="shared" si="0"/>
        <v>290</v>
      </c>
      <c r="E31" s="31">
        <f>D31/'Top 10 Hard'!$J$2</f>
        <v>7.8450255774885711E-3</v>
      </c>
      <c r="F31" s="31">
        <f>IF(NOT(ISNUMBER(F30)),0,F30)+Table1[[#This Row],[Points]]/'Top 10 Hard'!$J$2</f>
        <v>0.50524940418383368</v>
      </c>
      <c r="G31" s="51" t="s">
        <v>579</v>
      </c>
      <c r="H31" s="64" t="str">
        <f>IF(VLOOKUP($G31,List!$A:$O,15,FALSE)=0,"",VLOOKUP($G31,List!$A:$O,15,FALSE))</f>
        <v>Y</v>
      </c>
      <c r="I31" s="42" t="str">
        <f>VLOOKUP($G31,List!$A:$U,2,FALSE)</f>
        <v>As Albania, own or have a subject own Iberia and the Caucasus.</v>
      </c>
      <c r="J31" s="54">
        <f>VLOOKUP($G31,List!$A:$U,3,FALSE)</f>
        <v>0.01</v>
      </c>
      <c r="K31" s="4" t="str">
        <f>VLOOKUP($G31,List!$A:$U,4,FALSE)</f>
        <v>VH</v>
      </c>
      <c r="L31" s="44">
        <f>VLOOKUP($G31,List!$A:$U,5,FALSE)</f>
        <v>290</v>
      </c>
      <c r="M31" s="42" t="str">
        <f>VLOOKUP($G31,List!$A:$U,17,FALSE)</f>
        <v>Playing as Albania</v>
      </c>
      <c r="N31" s="44" t="s">
        <v>1823</v>
      </c>
      <c r="O31" s="43" t="str">
        <f>VLOOKUP($G31,List!$A:$U,18,FALSE)</f>
        <v>- *Not* playing as a released vassal
- All provinces in the Iberia and Caucasia regions are owned by the 
player's country *or* its non-tributary subjects.</v>
      </c>
      <c r="P31" s="38">
        <f>VLOOKUP($G31,List!$A:$U,19,FALSE)</f>
        <v>0</v>
      </c>
    </row>
    <row r="32" spans="1:16" ht="30" customHeight="1" x14ac:dyDescent="0.25">
      <c r="A32" s="45" t="s">
        <v>1921</v>
      </c>
      <c r="B32" s="59" t="s">
        <v>1889</v>
      </c>
      <c r="C32" s="4" t="s">
        <v>2</v>
      </c>
      <c r="D32" s="27">
        <f t="shared" si="0"/>
        <v>14.7</v>
      </c>
      <c r="E32" s="31">
        <f>D32/'Top 10 Hard'!$J$2</f>
        <v>3.9766164134166201E-4</v>
      </c>
      <c r="F32" s="31">
        <f>IF(NOT(ISNUMBER(F31)),0,F31)+Table1[[#This Row],[Points]]/'Top 10 Hard'!$J$2</f>
        <v>0.50564706582517538</v>
      </c>
      <c r="G32" s="52" t="s">
        <v>29</v>
      </c>
      <c r="H32" s="63" t="str">
        <f>IF(VLOOKUP($G32,List!$A:$O,15,FALSE)=0,"",VLOOKUP($G32,List!$A:$O,15,FALSE))</f>
        <v/>
      </c>
      <c r="I32" s="46" t="str">
        <f>VLOOKUP($G32,List!$A:$U,2,FALSE)</f>
        <v>As Sus, have three countries hostile to you (less than 0 opinion) after 
they discovered your spy.</v>
      </c>
      <c r="J32" s="57">
        <f>VLOOKUP($G32,List!$A:$U,3,FALSE)</f>
        <v>6.0000000000000001E-3</v>
      </c>
      <c r="K32" s="4" t="str">
        <f>VLOOKUP($G32,List!$A:$U,4,FALSE)</f>
        <v>VE</v>
      </c>
      <c r="L32" s="46">
        <f>VLOOKUP($G32,List!$A:$U,5,FALSE)</f>
        <v>14.7</v>
      </c>
      <c r="M32" s="46" t="str">
        <f>VLOOKUP($G32,List!$A:$U,17,FALSE)</f>
        <v>Playing as Sus</v>
      </c>
      <c r="N32" s="62" t="s">
        <v>1823</v>
      </c>
      <c r="O32" s="48" t="str">
        <f>VLOOKUP($G32,List!$A:$U,18,FALSE)</f>
        <v>- Is Sus
- Three countries fulfill the following conditions: 
- have a negative opinion of this country
- have the opinion modifier “*Did Covert Actions*” towards this 
country</v>
      </c>
      <c r="P32" s="38" t="str">
        <f>VLOOKUP($G32,List!$A:$U,19,FALSE)</f>
        <v>Being a subject of Morocco does not prevent you from spying on other 
countries and independence is therefore not required. You simply need to 
use your two diplomats to build spy network in any country. There is about 
an 85% chance three nations will discover your spies within the first ten 
years. If your relations with them are still positive, insult them. Before 
unpausing the game, search for the countries with starting rulers with 
Secretive personality which gives *+20%* foreign spy detection.</v>
      </c>
    </row>
    <row r="33" spans="1:16" ht="30" customHeight="1" x14ac:dyDescent="0.25">
      <c r="A33" s="39" t="s">
        <v>1922</v>
      </c>
      <c r="B33" s="60" t="s">
        <v>1879</v>
      </c>
      <c r="C33" s="4" t="s">
        <v>434</v>
      </c>
      <c r="D33" s="27">
        <f t="shared" si="0"/>
        <v>175.6</v>
      </c>
      <c r="E33" s="31">
        <f>D33/'Top 10 Hard'!$J$2</f>
        <v>4.7502982462310104E-3</v>
      </c>
      <c r="F33" s="31">
        <f>IF(NOT(ISNUMBER(F32)),0,F32)+Table1[[#This Row],[Points]]/'Top 10 Hard'!$J$2</f>
        <v>0.5096642599570963</v>
      </c>
      <c r="G33" s="51" t="s">
        <v>561</v>
      </c>
      <c r="H33" s="64" t="str">
        <f>IF(VLOOKUP($G33,List!$A:$O,15,FALSE)=0,"",VLOOKUP($G33,List!$A:$O,15,FALSE))</f>
        <v>Y</v>
      </c>
      <c r="I33" s="42" t="str">
        <f>VLOOKUP($G33,List!$A:$U,2,FALSE)</f>
        <v>As Songhai, have Prussia and Nepal as marches!</v>
      </c>
      <c r="J33" s="54">
        <f>VLOOKUP($G33,List!$A:$U,3,FALSE)</f>
        <v>3.0000000000000001E-3</v>
      </c>
      <c r="K33" s="4" t="str">
        <f>VLOOKUP($G33,List!$A:$U,4,FALSE)</f>
        <v>H</v>
      </c>
      <c r="L33" s="44">
        <f>VLOOKUP($G33,List!$A:$U,5,FALSE)</f>
        <v>148.5</v>
      </c>
      <c r="M33" s="42" t="str">
        <f>VLOOKUP($G33,List!$A:$U,17,FALSE)</f>
        <v>Playing as Songhai</v>
      </c>
      <c r="N33" s="44" t="s">
        <v>1823</v>
      </c>
      <c r="O33" s="43" t="str">
        <f>VLOOKUP($G33,List!$A:$U,18,FALSE)</f>
        <v>- Is Songhai
- Have Prussia*and*Nepal as marches.</v>
      </c>
      <c r="P33" s="48" t="str">
        <f>VLOOKUP($G33,List!$A:$U,19,FALSE)</f>
        <v>This achievement is only visible if the Origins DLC is active, but it is 
possible to get the achievement without that DLC. 
Songhai has a strong starting position, the main difficulty is making sure 
both Prussia and Nepal exist. Note that only Prussia can be formed by a 
subject nation, so you are better off giving a Nepali minor the required 
provinces by calling them to war as ally before subjugating them.</v>
      </c>
    </row>
    <row r="34" spans="1:16" ht="30" customHeight="1" x14ac:dyDescent="0.25">
      <c r="A34" s="39" t="s">
        <v>1922</v>
      </c>
      <c r="B34" s="60" t="s">
        <v>1879</v>
      </c>
      <c r="C34" s="4" t="s">
        <v>434</v>
      </c>
      <c r="D34" s="27">
        <f t="shared" ref="D34:D65" si="1">SUMIFS($L:$L,$A:$A,$A34)</f>
        <v>175.6</v>
      </c>
      <c r="E34" s="31">
        <f>D34/'Top 10 Hard'!$J$2</f>
        <v>4.7502982462310104E-3</v>
      </c>
      <c r="F34" s="31">
        <f>IF(NOT(ISNUMBER(F33)),0,F33)+Table1[[#This Row],[Points]]/'Top 10 Hard'!$J$2</f>
        <v>0.51039736407140646</v>
      </c>
      <c r="G34" s="51" t="s">
        <v>168</v>
      </c>
      <c r="H34" s="64" t="str">
        <f>IF(VLOOKUP($G34,List!$A:$O,15,FALSE)=0,"",VLOOKUP($G34,List!$A:$O,15,FALSE))</f>
        <v>Y</v>
      </c>
      <c r="I34" s="42" t="str">
        <f>VLOOKUP($G34,List!$A:$U,2,FALSE)</f>
        <v>Own Timbuktu as Songhai</v>
      </c>
      <c r="J34" s="54">
        <f>VLOOKUP($G34,List!$A:$U,3,FALSE)</f>
        <v>2.9000000000000001E-2</v>
      </c>
      <c r="K34" s="4" t="str">
        <f>VLOOKUP($G34,List!$A:$U,4,FALSE)</f>
        <v>E</v>
      </c>
      <c r="L34" s="44">
        <f>VLOOKUP($G34,List!$A:$U,5,FALSE)</f>
        <v>27.1</v>
      </c>
      <c r="M34" s="42" t="str">
        <f>VLOOKUP($G34,List!$A:$U,17,FALSE)</f>
        <v>Playing as Songhai</v>
      </c>
      <c r="N34" s="44" t="s">
        <v>1823</v>
      </c>
      <c r="O34" s="43" t="str">
        <f>VLOOKUP($G34,List!$A:$U,18,FALSE)</f>
        <v>Own and core the province of Timbuktu</v>
      </c>
      <c r="P34" s="48" t="str">
        <f>VLOOKUP($G34,List!$A:$U,19,FALSE)</f>
        <v>Can be done swiftly by declaring a no-casus belli war a month from the 
start of the game, before any alliances are made. Hiring a handful of 
mercenaries will help with the conquest, whereas hiring an administrative 
advisor and changing the national focus to administrative will help to core 
the province sooner.</v>
      </c>
    </row>
    <row r="35" spans="1:16" ht="30" customHeight="1" x14ac:dyDescent="0.25">
      <c r="A35" s="45" t="s">
        <v>1923</v>
      </c>
      <c r="B35" s="59" t="s">
        <v>1731</v>
      </c>
      <c r="C35" s="4" t="s">
        <v>242</v>
      </c>
      <c r="D35" s="27">
        <f t="shared" si="1"/>
        <v>167.65</v>
      </c>
      <c r="E35" s="31">
        <f>D35/'Top 10 Hard'!$J$2</f>
        <v>4.5352363381584784E-3</v>
      </c>
      <c r="F35" s="31">
        <f>IF(NOT(ISNUMBER(F34)),0,F34)+Table1[[#This Row],[Points]]/'Top 10 Hard'!$J$2</f>
        <v>0.51239919818428281</v>
      </c>
      <c r="G35" s="52" t="s">
        <v>387</v>
      </c>
      <c r="H35" s="63" t="str">
        <f>IF(VLOOKUP($G35,List!$A:$O,15,FALSE)=0,"",VLOOKUP($G35,List!$A:$O,15,FALSE))</f>
        <v>Y</v>
      </c>
      <c r="I35" s="46" t="str">
        <f>VLOOKUP($G35,List!$A:$U,2,FALSE)</f>
        <v>Starting and playing as Ming, own the Britain region.</v>
      </c>
      <c r="J35" s="57">
        <f>VLOOKUP($G35,List!$A:$U,3,FALSE)</f>
        <v>4.0000000000000001E-3</v>
      </c>
      <c r="K35" s="4" t="str">
        <f>VLOOKUP($G35,List!$A:$U,4,FALSE)</f>
        <v>M</v>
      </c>
      <c r="L35" s="46">
        <f>VLOOKUP($G35,List!$A:$U,5,FALSE)</f>
        <v>74</v>
      </c>
      <c r="M35" s="46" t="str">
        <f>VLOOKUP($G35,List!$A:$U,17,FALSE)</f>
        <v>- Playing as Ming
- AI-controlled custom nations are allowed, but they are not required</v>
      </c>
      <c r="N35" s="62" t="s">
        <v>1823</v>
      </c>
      <c r="O35" s="48" t="str">
        <f>VLOOKUP($G35,List!$A:$U,18,FALSE)</f>
        <v>- Is Ming
- Own all provinces in the Britain region
Britain region</v>
      </c>
      <c r="P35" s="38" t="str">
        <f>VLOOKUP($G35,List!$A:$U,19,FALSE)</f>
        <v>This is one of only two achievements which allows a custom nation on the 
map which can't be earned by playing that custom nation.</v>
      </c>
    </row>
    <row r="36" spans="1:16" ht="30" customHeight="1" x14ac:dyDescent="0.25">
      <c r="A36" s="45" t="s">
        <v>1923</v>
      </c>
      <c r="B36" s="59" t="s">
        <v>1731</v>
      </c>
      <c r="C36" s="4" t="s">
        <v>242</v>
      </c>
      <c r="D36" s="27">
        <f t="shared" si="1"/>
        <v>167.65</v>
      </c>
      <c r="E36" s="31">
        <f>D36/'Top 10 Hard'!$J$2</f>
        <v>4.5352363381584784E-3</v>
      </c>
      <c r="F36" s="31">
        <f>IF(NOT(ISNUMBER(F35)),0,F35)+Table1[[#This Row],[Points]]/'Top 10 Hard'!$J$2</f>
        <v>0.51316746965463</v>
      </c>
      <c r="G36" s="52" t="s">
        <v>152</v>
      </c>
      <c r="H36" s="63" t="str">
        <f>IF(VLOOKUP($G36,List!$A:$O,15,FALSE)=0,"",VLOOKUP($G36,List!$A:$O,15,FALSE))</f>
        <v>Y</v>
      </c>
      <c r="I36" s="46" t="str">
        <f>VLOOKUP($G36,List!$A:$U,2,FALSE)</f>
        <v>As Ming, have a subject from each religion group.</v>
      </c>
      <c r="J36" s="57">
        <f>VLOOKUP($G36,List!$A:$U,3,FALSE)</f>
        <v>1.6E-2</v>
      </c>
      <c r="K36" s="4" t="str">
        <f>VLOOKUP($G36,List!$A:$U,4,FALSE)</f>
        <v>E</v>
      </c>
      <c r="L36" s="46">
        <f>VLOOKUP($G36,List!$A:$U,5,FALSE)</f>
        <v>28.4</v>
      </c>
      <c r="M36" s="46" t="str">
        <f>VLOOKUP($G36,List!$A:$U,17,FALSE)</f>
        <v>Playing as Ming</v>
      </c>
      <c r="N36" s="62" t="s">
        <v>1823</v>
      </c>
      <c r="O36" s="48" t="str">
        <f>VLOOKUP($G36,List!$A:$U,18,FALSE)</f>
        <v>- *Not* playing as a released vassal
- Have a subject nation in the 5 religious groups Christian, Muslim, 
Eastern, Dharmic and Pagan</v>
      </c>
      <c r="P36" s="38" t="str">
        <f>VLOOKUP($G36,List!$A:$U,19,FALSE)</f>
        <v>- The Jewish and Zoroastrian groups are *not* needed.
- No CB War against Mikhlaf in Arabia, vassalize them in the peace deal. 
Ally a neighbour (Yemen or Hormuz can be a good choice), ask for maps of 
the horn of Africa and then establish one of the Coptic minors as a 
tributary or vassal. Medri Bahri can be a good choice. Proclaim a Guarantee 
to protect them while you improve relations.</v>
      </c>
    </row>
    <row r="37" spans="1:16" ht="30" customHeight="1" x14ac:dyDescent="0.25">
      <c r="A37" s="45" t="s">
        <v>1923</v>
      </c>
      <c r="B37" s="59" t="s">
        <v>1731</v>
      </c>
      <c r="C37" s="4" t="s">
        <v>242</v>
      </c>
      <c r="D37" s="27">
        <f t="shared" si="1"/>
        <v>167.65</v>
      </c>
      <c r="E37" s="31">
        <f>D37/'Top 10 Hard'!$J$2</f>
        <v>4.5352363381584784E-3</v>
      </c>
      <c r="F37" s="31">
        <f>IF(NOT(ISNUMBER(F36)),0,F36)+Table1[[#This Row],[Points]]/'Top 10 Hard'!$J$2</f>
        <v>0.5149326004095649</v>
      </c>
      <c r="G37" s="52" t="s">
        <v>247</v>
      </c>
      <c r="H37" s="63" t="str">
        <f>IF(VLOOKUP($G37,List!$A:$O,15,FALSE)=0,"",VLOOKUP($G37,List!$A:$O,15,FALSE))</f>
        <v>Y</v>
      </c>
      <c r="I37" s="46" t="str">
        <f>VLOOKUP($G37,List!$A:$U,2,FALSE)</f>
        <v>Have at least 21 different subjects with 5 cities each and without any 
subject having 50% or more Liberty Desire. Trade Companies do not count.</v>
      </c>
      <c r="J37" s="57">
        <f>VLOOKUP($G37,List!$A:$U,3,FALSE)</f>
        <v>3.9E-2</v>
      </c>
      <c r="K37" s="4" t="str">
        <f>VLOOKUP($G37,List!$A:$U,4,FALSE)</f>
        <v>M</v>
      </c>
      <c r="L37" s="46">
        <f>VLOOKUP($G37,List!$A:$U,5,FALSE)</f>
        <v>65.25</v>
      </c>
      <c r="M37" s="46">
        <f>VLOOKUP($G37,List!$A:$U,17,FALSE)</f>
        <v>0</v>
      </c>
      <c r="N37" s="62" t="s">
        <v>1823</v>
      </c>
      <c r="O37" s="48" t="str">
        <f>VLOOKUP($G37,List!$A:$U,18,FALSE)</f>
        <v>Has 21 different subjects with more than 5 cities and less than 50% liberty 
desire</v>
      </c>
      <c r="P37" s="38" t="str">
        <f>VLOOKUP($G37,List!$A:$U,19,FALSE)</f>
        <v>Can be easily achieved with Tributary states as the Chinese Emperor with 
the Mandate of Heaven DLC or Ashikaga with its daimyos. 
Can also be achieved by conquering swathes of low-development land and 
releasing client states.</v>
      </c>
    </row>
    <row r="38" spans="1:16" ht="30" customHeight="1" x14ac:dyDescent="0.25">
      <c r="A38" s="39" t="s">
        <v>1924</v>
      </c>
      <c r="B38" s="60" t="s">
        <v>1702</v>
      </c>
      <c r="C38" s="4" t="s">
        <v>434</v>
      </c>
      <c r="D38" s="27">
        <f t="shared" si="1"/>
        <v>291.5</v>
      </c>
      <c r="E38" s="31">
        <f>D38/'Top 10 Hard'!$J$2</f>
        <v>7.885603295992822E-3</v>
      </c>
      <c r="F38" s="31">
        <f>IF(NOT(ISNUMBER(F37)),0,F37)+Table1[[#This Row],[Points]]/'Top 10 Hard'!$J$2</f>
        <v>0.51886863910447723</v>
      </c>
      <c r="G38" s="51" t="s">
        <v>482</v>
      </c>
      <c r="H38" s="64" t="str">
        <f>IF(VLOOKUP($G38,List!$A:$O,15,FALSE)=0,"",VLOOKUP($G38,List!$A:$O,15,FALSE))</f>
        <v>Y</v>
      </c>
      <c r="I38" s="42" t="str">
        <f>VLOOKUP($G38,List!$A:$U,2,FALSE)</f>
        <v>As Tver, Yaroslavl, Ryazan, Beloozero, Rostov or Odoyev, eliminate all 
other Rurikovich nations without changing your ruling dynasty.</v>
      </c>
      <c r="J38" s="54">
        <f>VLOOKUP($G38,List!$A:$U,3,FALSE)</f>
        <v>8.9999999999999993E-3</v>
      </c>
      <c r="K38" s="6" t="str">
        <f>VLOOKUP($G38,List!$A:$U,4,FALSE)</f>
        <v>H</v>
      </c>
      <c r="L38" s="44">
        <f>VLOOKUP($G38,List!$A:$U,5,FALSE)</f>
        <v>145.5</v>
      </c>
      <c r="M38" s="42" t="str">
        <f>VLOOKUP($G38,List!$A:$U,17,FALSE)</f>
        <v>Playing as *either*: 
- Odoyev
- Ryazan
- Tver
- Yaroslavl
- Beloozero
- Rostov</v>
      </c>
      <c r="N38" s="44" t="s">
        <v>1823</v>
      </c>
      <c r="O38" s="43" t="str">
        <f>VLOOKUP($G38,List!$A:$U,18,FALSE)</f>
        <v>This country and its junior partners are the only countries with the 
Rurikovich dynasty</v>
      </c>
      <c r="P38" s="49">
        <f>VLOOKUP($G38,List!$A:$U,19,FALSE)</f>
        <v>0</v>
      </c>
    </row>
    <row r="39" spans="1:16" ht="30" customHeight="1" x14ac:dyDescent="0.25">
      <c r="A39" s="39" t="s">
        <v>1924</v>
      </c>
      <c r="B39" s="60" t="s">
        <v>1702</v>
      </c>
      <c r="C39" s="4" t="s">
        <v>434</v>
      </c>
      <c r="D39" s="27">
        <f t="shared" si="1"/>
        <v>291.5</v>
      </c>
      <c r="E39" s="31">
        <f>D39/'Top 10 Hard'!$J$2</f>
        <v>7.885603295992822E-3</v>
      </c>
      <c r="F39" s="31">
        <f>IF(NOT(ISNUMBER(F38)),0,F38)+Table1[[#This Row],[Points]]/'Top 10 Hard'!$J$2</f>
        <v>0.52281820370555765</v>
      </c>
      <c r="G39" s="51" t="s">
        <v>435</v>
      </c>
      <c r="H39" s="64" t="str">
        <f>IF(VLOOKUP($G39,List!$A:$O,15,FALSE)=0,"",VLOOKUP($G39,List!$A:$O,15,FALSE))</f>
        <v>Y</v>
      </c>
      <c r="I39" s="42" t="str">
        <f>VLOOKUP($G39,List!$A:$U,2,FALSE)</f>
        <v>As Ryazan, own Saratov, Crimea and Kazan while being independent.</v>
      </c>
      <c r="J39" s="54">
        <f>VLOOKUP($G39,List!$A:$U,3,FALSE)</f>
        <v>8.0000000000000002E-3</v>
      </c>
      <c r="K39" s="6" t="str">
        <f>VLOOKUP($G39,List!$A:$U,4,FALSE)</f>
        <v>H</v>
      </c>
      <c r="L39" s="44">
        <f>VLOOKUP($G39,List!$A:$U,5,FALSE)</f>
        <v>146</v>
      </c>
      <c r="M39" s="42" t="str">
        <f>VLOOKUP($G39,List!$A:$U,17,FALSE)</f>
        <v>Playing as Ryazan</v>
      </c>
      <c r="N39" s="44" t="s">
        <v>1823</v>
      </c>
      <c r="O39" s="43" t="str">
        <f>VLOOKUP($G39,List!$A:$U,18,FALSE)</f>
        <v>- Is *not* a subject nation
- Own the provinces of Crimea (284), Kazan (1082) and Saratov (303)</v>
      </c>
      <c r="P39" s="49">
        <f>VLOOKUP($G39,List!$A:$U,19,FALSE)</f>
        <v>0</v>
      </c>
    </row>
    <row r="40" spans="1:16" ht="30" customHeight="1" x14ac:dyDescent="0.25">
      <c r="A40" s="45" t="s">
        <v>1925</v>
      </c>
      <c r="B40" s="59" t="s">
        <v>1696</v>
      </c>
      <c r="C40" s="4" t="s">
        <v>434</v>
      </c>
      <c r="D40" s="27">
        <f t="shared" si="1"/>
        <v>240.55</v>
      </c>
      <c r="E40" s="31">
        <f>D40/'Top 10 Hard'!$J$2</f>
        <v>6.5073134574650882E-3</v>
      </c>
      <c r="F40" s="31">
        <f>IF(NOT(ISNUMBER(F39)),0,F39)+Table1[[#This Row],[Points]]/'Top 10 Hard'!$J$2</f>
        <v>0.52481327486535001</v>
      </c>
      <c r="G40" s="59" t="s">
        <v>389</v>
      </c>
      <c r="H40" s="65" t="str">
        <f>IF(VLOOKUP($G40,List!$A:$O,15,FALSE)=0,"",VLOOKUP($G40,List!$A:$O,15,FALSE))</f>
        <v>Y</v>
      </c>
      <c r="I40" s="47" t="str">
        <f>VLOOKUP($G40,List!$A:$U,2,FALSE)</f>
        <v>As Spain, have Reformed Tercios, 33 Tercio Units, and control 3 Great 
Power capitals at the same time</v>
      </c>
      <c r="J40" s="55">
        <f>VLOOKUP($G40,List!$A:$U,3,FALSE)</f>
        <v>5.0000000000000001E-3</v>
      </c>
      <c r="K40" s="6" t="str">
        <f>VLOOKUP($G40,List!$A:$U,4,FALSE)</f>
        <v>M</v>
      </c>
      <c r="L40" s="50">
        <f>VLOOKUP($G40,List!$A:$U,5,FALSE)</f>
        <v>73.75</v>
      </c>
      <c r="M40" s="47">
        <f>VLOOKUP($G40,List!$A:$U,17,FALSE)</f>
        <v>0</v>
      </c>
      <c r="N40" s="50" t="s">
        <v>1823</v>
      </c>
      <c r="O40" s="49" t="str">
        <f>VLOOKUP($G40,List!$A:$U,18,FALSE)</f>
        <v>- Is Spain
- Has the modifier *“Reformed Tercio Regiments”* (from the mission Refine 
the Tercios)
- Has at least 33 tercio regiments
- Control the capitals of three great powers</v>
      </c>
      <c r="P40" s="49" t="str">
        <f>VLOOKUP($G40,List!$A:$U,19,FALSE)</f>
        <v>To get the mission, Spain must be formed by a country which *never* was 
Aragon.</v>
      </c>
    </row>
    <row r="41" spans="1:16" ht="30" customHeight="1" x14ac:dyDescent="0.25">
      <c r="A41" s="45" t="s">
        <v>1925</v>
      </c>
      <c r="B41" s="59" t="s">
        <v>1696</v>
      </c>
      <c r="C41" s="4" t="s">
        <v>434</v>
      </c>
      <c r="D41" s="27">
        <f t="shared" si="1"/>
        <v>240.55</v>
      </c>
      <c r="E41" s="31">
        <f>D41/'Top 10 Hard'!$J$2</f>
        <v>6.5073134574650882E-3</v>
      </c>
      <c r="F41" s="31">
        <f>IF(NOT(ISNUMBER(F40)),0,F40)+Table1[[#This Row],[Points]]/'Top 10 Hard'!$J$2</f>
        <v>0.52864110631091776</v>
      </c>
      <c r="G41" s="59" t="s">
        <v>469</v>
      </c>
      <c r="H41" s="65" t="str">
        <f>IF(VLOOKUP($G41,List!$A:$O,15,FALSE)=0,"",VLOOKUP($G41,List!$A:$O,15,FALSE))</f>
        <v>Y</v>
      </c>
      <c r="I41" s="47" t="str">
        <f>VLOOKUP($G41,List!$A:$U,2,FALSE)</f>
        <v>Complete the Spanish Mission Tree.</v>
      </c>
      <c r="J41" s="55">
        <f>VLOOKUP($G41,List!$A:$U,3,FALSE)</f>
        <v>1.7000000000000001E-2</v>
      </c>
      <c r="K41" s="6" t="str">
        <f>VLOOKUP($G41,List!$A:$U,4,FALSE)</f>
        <v>H</v>
      </c>
      <c r="L41" s="50">
        <f>VLOOKUP($G41,List!$A:$U,5,FALSE)</f>
        <v>141.5</v>
      </c>
      <c r="M41" s="47" t="str">
        <f>VLOOKUP($G41,List!$A:$U,17,FALSE)</f>
        <v>*Not* using a random New World</v>
      </c>
      <c r="N41" s="50" t="s">
        <v>1823</v>
      </c>
      <c r="O41" s="49" t="str">
        <f>VLOOKUP($G41,List!$A:$U,18,FALSE)</f>
        <v>- Complete one of the following mission trees: 
- Spanish missions from the Golden Century DLC.
- Castilian/Spanish missions from the Domination DLC.
- Aragonese missions from the Domination DLC*and* the lower half of 
the Castilian missions which Aragon gets upon forming Spain.</v>
      </c>
      <c r="P41" s="49" t="str">
        <f>VLOOKUP($G41,List!$A:$U,19,FALSE)</f>
        <v>The achievement *cannot* be completed with the Aragonese missions from the 
Golden Century DLC. If the Golden Century, but not the Domination DLC is 
active, Spain must be formed by a country which does *not* have Aragonese 
*nor* Catalan as primary culture, because these cultures give Aragonese 
missions instead of Spanish missions(culture converting after formation 
does not change your missions).</v>
      </c>
    </row>
    <row r="42" spans="1:16" ht="30" customHeight="1" x14ac:dyDescent="0.25">
      <c r="A42" s="45" t="s">
        <v>1925</v>
      </c>
      <c r="B42" s="59" t="s">
        <v>1696</v>
      </c>
      <c r="C42" s="4" t="s">
        <v>434</v>
      </c>
      <c r="D42" s="27">
        <f t="shared" si="1"/>
        <v>240.55</v>
      </c>
      <c r="E42" s="31">
        <f>D42/'Top 10 Hard'!$J$2</f>
        <v>6.5073134574650882E-3</v>
      </c>
      <c r="F42" s="31">
        <f>IF(NOT(ISNUMBER(F41)),0,F41)+Table1[[#This Row],[Points]]/'Top 10 Hard'!$J$2</f>
        <v>0.52932551716302279</v>
      </c>
      <c r="G42" s="59" t="s">
        <v>148</v>
      </c>
      <c r="H42" s="65" t="str">
        <f>IF(VLOOKUP($G42,List!$A:$O,15,FALSE)=0,"",VLOOKUP($G42,List!$A:$O,15,FALSE))</f>
        <v>Y</v>
      </c>
      <c r="I42" s="47" t="str">
        <f>VLOOKUP($G42,List!$A:$U,2,FALSE)</f>
        <v>As Spain have Mexico, Panama, Havana, Cuzco in colonial Nations under you.</v>
      </c>
      <c r="J42" s="55">
        <f>VLOOKUP($G42,List!$A:$U,3,FALSE)</f>
        <v>4.7E-2</v>
      </c>
      <c r="K42" s="6" t="str">
        <f>VLOOKUP($G42,List!$A:$U,4,FALSE)</f>
        <v>E</v>
      </c>
      <c r="L42" s="50">
        <f>VLOOKUP($G42,List!$A:$U,5,FALSE)</f>
        <v>25.3</v>
      </c>
      <c r="M42" s="47" t="str">
        <f>VLOOKUP($G42,List!$A:$U,17,FALSE)</f>
        <v>*Not* using a random New World.</v>
      </c>
      <c r="N42" s="50" t="s">
        <v>1823</v>
      </c>
      <c r="O42" s="49" t="str">
        <f>VLOOKUP($G42,List!$A:$U,18,FALSE)</f>
        <v>- *Not* playing as a released vassal
- Is Spain
- Have colonial nations in Mexico, Panama, Havana, and Cuzco.</v>
      </c>
      <c r="P42" s="49">
        <f>VLOOKUP($G42,List!$A:$U,19,FALSE)</f>
        <v>0</v>
      </c>
    </row>
    <row r="43" spans="1:16" ht="30" customHeight="1" x14ac:dyDescent="0.25">
      <c r="A43" s="39" t="s">
        <v>1926</v>
      </c>
      <c r="B43" s="60" t="s">
        <v>1911</v>
      </c>
      <c r="C43" s="4" t="s">
        <v>573</v>
      </c>
      <c r="D43" s="27">
        <f t="shared" si="1"/>
        <v>318</v>
      </c>
      <c r="E43" s="31">
        <f>D43/'Top 10 Hard'!$J$2</f>
        <v>8.6024763229012591E-3</v>
      </c>
      <c r="F43" s="31">
        <f>IF(NOT(ISNUMBER(F42)),0,F42)+Table1[[#This Row],[Points]]/'Top 10 Hard'!$J$2</f>
        <v>0.53011001972077165</v>
      </c>
      <c r="G43" s="51" t="s">
        <v>170</v>
      </c>
      <c r="H43" s="64" t="str">
        <f>IF(VLOOKUP($G43,List!$A:$O,15,FALSE)=0,"",VLOOKUP($G43,List!$A:$O,15,FALSE))</f>
        <v>Y</v>
      </c>
      <c r="I43" s="42" t="str">
        <f>VLOOKUP($G43,List!$A:$U,2,FALSE)</f>
        <v>As Aztecs, reach 95 Doom, then go 20 years without Doom hitting 100.</v>
      </c>
      <c r="J43" s="54">
        <f>VLOOKUP($G43,List!$A:$U,3,FALSE)</f>
        <v>0.01</v>
      </c>
      <c r="K43" s="4" t="str">
        <f>VLOOKUP($G43,List!$A:$U,4,FALSE)</f>
        <v>E</v>
      </c>
      <c r="L43" s="44">
        <f>VLOOKUP($G43,List!$A:$U,5,FALSE)</f>
        <v>29</v>
      </c>
      <c r="M43" s="42" t="str">
        <f>VLOOKUP($G43,List!$A:$U,17,FALSE)</f>
        <v>- Playing as Aztec
- *Not* using a random New World</v>
      </c>
      <c r="N43" s="44" t="s">
        <v>1823</v>
      </c>
      <c r="O43" s="43" t="str">
        <f>VLOOKUP($G43,List!$A:$U,18,FALSE)</f>
        <v>- *Not* playing as a released vassal
- Reach 95 Doom, then survive for 20 years without hitting 100 Doom. Had 
the flag *doom_reached_95* for 20 years *and* do not have flag 
*doom_reached_100*</v>
      </c>
      <c r="P43" s="48" t="str">
        <f>VLOOKUP($G43,List!$A:$U,19,FALSE)</f>
        <v>It is not required to keep doom between 95 and 100 for 20 years, but make 
sure you are at 95 doom at least once when a month tick happens so the 
countdown actually starts. Doom may drop below 95 at any time. Passing 
religious reforms (except the Reform Religion button, which disables doom) 
will also not prevent the achievement. Changing religion (e.g. to mayan or 
animist) after hitting 95 doom will also not prevent the achievement.</v>
      </c>
    </row>
    <row r="44" spans="1:16" ht="30" customHeight="1" x14ac:dyDescent="0.25">
      <c r="A44" s="39" t="s">
        <v>1926</v>
      </c>
      <c r="B44" s="60" t="s">
        <v>1911</v>
      </c>
      <c r="C44" s="4" t="s">
        <v>573</v>
      </c>
      <c r="D44" s="27">
        <f t="shared" si="1"/>
        <v>318</v>
      </c>
      <c r="E44" s="31">
        <f>D44/'Top 10 Hard'!$J$2</f>
        <v>8.6024763229012591E-3</v>
      </c>
      <c r="F44" s="31">
        <f>IF(NOT(ISNUMBER(F43)),0,F43)+Table1[[#This Row],[Points]]/'Top 10 Hard'!$J$2</f>
        <v>0.53792799348592402</v>
      </c>
      <c r="G44" s="51" t="s">
        <v>610</v>
      </c>
      <c r="H44" s="64" t="str">
        <f>IF(VLOOKUP($G44,List!$A:$O,15,FALSE)=0,"",VLOOKUP($G44,List!$A:$O,15,FALSE))</f>
        <v>Y</v>
      </c>
      <c r="I44" s="42" t="str">
        <f>VLOOKUP($G44,List!$A:$U,2,FALSE)</f>
        <v>Own and have cores on Lisbon, Madrid, Paris, London, Amsterdam and Rome as 
the Aztecs.</v>
      </c>
      <c r="J44" s="54">
        <f>VLOOKUP($G44,List!$A:$U,3,FALSE)</f>
        <v>1.0999999999999999E-2</v>
      </c>
      <c r="K44" s="4" t="str">
        <f>VLOOKUP($G44,List!$A:$U,4,FALSE)</f>
        <v>VH</v>
      </c>
      <c r="L44" s="44">
        <f>VLOOKUP($G44,List!$A:$U,5,FALSE)</f>
        <v>289</v>
      </c>
      <c r="M44" s="42" t="str">
        <f>VLOOKUP($G44,List!$A:$U,17,FALSE)</f>
        <v>Playing as Aztec</v>
      </c>
      <c r="N44" s="44" t="s">
        <v>1823</v>
      </c>
      <c r="O44" s="43" t="str">
        <f>VLOOKUP($G44,List!$A:$U,18,FALSE)</f>
        <v>Own and core the provinces of Lisboa, Madrid, Paris, London, Amsterdam, 
and Roma.</v>
      </c>
      <c r="P44" s="48" t="str">
        <f>VLOOKUP($G44,List!$A:$U,19,FALSE)</f>
        <v>As a New World country European overlords will not automatically join 
defensive wars against their colonies by you, establish a power base in 
North America, then you can either get allies (unlikely as most will desire 
your gold provinces too much) or an effective strategy is try to trigger a 
defensive war, or attack a colonial province still controlled by the 
overlord. In the following peace treaty take European provinces from them, 
that way you can easily ship over your elite troops in peace time without 
the need to also build up a large armada. With the Unrestricted Conquest ability 
from the Age of Revolutions you can take any province making it easy to 
take capitals without the need of conquering a lot of adjacent provinces.</v>
      </c>
    </row>
    <row r="45" spans="1:16" ht="30" customHeight="1" x14ac:dyDescent="0.25">
      <c r="A45" s="39" t="s">
        <v>1927</v>
      </c>
      <c r="B45" s="60" t="s">
        <v>1919</v>
      </c>
      <c r="C45" s="4" t="s">
        <v>242</v>
      </c>
      <c r="D45" s="27">
        <f t="shared" si="1"/>
        <v>145</v>
      </c>
      <c r="E45" s="31">
        <f>D45/'Top 10 Hard'!$J$2</f>
        <v>3.9225127887442856E-3</v>
      </c>
      <c r="F45" s="31">
        <f>IF(NOT(ISNUMBER(F44)),0,F44)+Table1[[#This Row],[Points]]/'Top 10 Hard'!$J$2</f>
        <v>0.53988924988029618</v>
      </c>
      <c r="G45" s="51" t="s">
        <v>420</v>
      </c>
      <c r="H45" s="64" t="str">
        <f>IF(VLOOKUP($G45,List!$A:$O,15,FALSE)=0,"",VLOOKUP($G45,List!$A:$O,15,FALSE))</f>
        <v>Y</v>
      </c>
      <c r="I45" s="42" t="str">
        <f>VLOOKUP($G45,List!$A:$U,2,FALSE)</f>
        <v>Choose to play as New Providence and conquer all of Caribbeans.</v>
      </c>
      <c r="J45" s="54">
        <f>VLOOKUP($G45,List!$A:$U,3,FALSE)</f>
        <v>0.01</v>
      </c>
      <c r="K45" s="4" t="str">
        <f>VLOOKUP($G45,List!$A:$U,4,FALSE)</f>
        <v>M</v>
      </c>
      <c r="L45" s="44">
        <f>VLOOKUP($G45,List!$A:$U,5,FALSE)</f>
        <v>72.5</v>
      </c>
      <c r="M45" s="42" t="str">
        <f>VLOOKUP($G45,List!$A:$U,17,FALSE)</f>
        <v>- No more than 1 custom nation exists in the world
- Used no more than 201 nation designer points if playing as a custom 
nation</v>
      </c>
      <c r="N45" s="44" t="s">
        <v>1822</v>
      </c>
      <c r="O45" s="43" t="str">
        <f>VLOOKUP($G45,List!$A:$U,18,FALSE)</f>
        <v>- Is New Providence
- Owns all provinces in the Caribbean region.</v>
      </c>
      <c r="P45" s="38" t="str">
        <f>VLOOKUP($G45,List!$A:$U,19,FALSE)</f>
        <v>Bermuda is in the Caribbean region also. 
- Starting as a custom nation in the Caribbean with the Bahamas as a 
core, and privateering in the Caribbean will allow you to spawn New 
Providence extremely quickly, giving you time to expand and colonize much 
of the Caribbean before the European colonial powers arrive. Pirate 
republics can declare war on colonial nations without their overlord being 
called as an ally, so if Europeans begin to colonize the Caribbean before 
you can finish, it may be easier to allow a colonial nation to form.</v>
      </c>
    </row>
    <row r="46" spans="1:16" ht="30" customHeight="1" x14ac:dyDescent="0.25">
      <c r="A46" s="39" t="s">
        <v>1927</v>
      </c>
      <c r="B46" s="60" t="s">
        <v>1919</v>
      </c>
      <c r="C46" s="4" t="s">
        <v>242</v>
      </c>
      <c r="D46" s="27">
        <f t="shared" si="1"/>
        <v>145</v>
      </c>
      <c r="E46" s="31">
        <f>D46/'Top 10 Hard'!$J$2</f>
        <v>3.9225127887442856E-3</v>
      </c>
      <c r="F46" s="31">
        <f>IF(NOT(ISNUMBER(F45)),0,F45)+Table1[[#This Row],[Points]]/'Top 10 Hard'!$J$2</f>
        <v>0.54185050627466835</v>
      </c>
      <c r="G46" s="51" t="s">
        <v>423</v>
      </c>
      <c r="H46" s="64" t="str">
        <f>IF(VLOOKUP($G46,List!$A:$O,15,FALSE)=0,"",VLOOKUP($G46,List!$A:$O,15,FALSE))</f>
        <v>Y</v>
      </c>
      <c r="I46" s="42" t="str">
        <f>VLOOKUP($G46,List!$A:$U,2,FALSE)</f>
        <v>Starting as a Western technology custom nation in North America or South 
America with no more than 200 points, unite the two continents.</v>
      </c>
      <c r="J46" s="54">
        <f>VLOOKUP($G46,List!$A:$U,3,FALSE)</f>
        <v>0.01</v>
      </c>
      <c r="K46" s="4" t="str">
        <f>VLOOKUP($G46,List!$A:$U,4,FALSE)</f>
        <v>M</v>
      </c>
      <c r="L46" s="44">
        <f>VLOOKUP($G46,List!$A:$U,5,FALSE)</f>
        <v>72.5</v>
      </c>
      <c r="M46" s="42" t="str">
        <f>VLOOKUP($G46,List!$A:$U,17,FALSE)</f>
        <v>- Playing as a custom nation
- Only 1 custom nation exists in the world
- Used no more than 201 nation designer points
- *Not* using a random New World.
- Is in western technology group
- Capital is on the North or South American continent.</v>
      </c>
      <c r="N46" s="44" t="s">
        <v>1822</v>
      </c>
      <c r="O46" s="43" t="str">
        <f>VLOOKUP($G46,List!$A:$U,18,FALSE)</f>
        <v>- *Not* playing as a released vassal
- Owns or has a core on all habitable land provinces in the continents 
of North and South America</v>
      </c>
      <c r="P46" s="38" t="str">
        <f>VLOOKUP($G46,List!$A:$U,19,FALSE)</f>
        <v>There must not be any empty provinces in the Americas, but it is not 
necessary to finish the colonies. Let the Colonial Nations do most of the 
job; their overlords will usually not defend them in a war. Only native 
provinces give overextension; this means you are able to annex the Colonial 
Nations in one war, but do the war before they break free. Provinces which 
you own don't have to be cored, so you can leave provinces uncored if they 
don't give OE. When designing your custom nation, by far the most important 
idea you can choose to include is the (unrecognized string “may establish 
siberian frontiers” for Template:Icon)*May establish Siberian frontiers* 
diplomatic idea, since frontiers aren't limited in number in the same way 
that standard colonization is: this will allow you to expand extremely 
rapidly across the continent at the cost of diplomatic power.</v>
      </c>
    </row>
    <row r="47" spans="1:16" ht="30" customHeight="1" x14ac:dyDescent="0.25">
      <c r="A47" s="45" t="s">
        <v>2047</v>
      </c>
      <c r="B47" s="59" t="s">
        <v>1868</v>
      </c>
      <c r="C47" s="4" t="s">
        <v>434</v>
      </c>
      <c r="D47" s="27">
        <f t="shared" si="1"/>
        <v>141</v>
      </c>
      <c r="E47" s="31">
        <f>D47/'Top 10 Hard'!$J$2</f>
        <v>3.8143055393996153E-3</v>
      </c>
      <c r="F47" s="31">
        <f>IF(NOT(ISNUMBER(F46)),0,F46)+Table1[[#This Row],[Points]]/'Top 10 Hard'!$J$2</f>
        <v>0.54566481181406801</v>
      </c>
      <c r="G47" s="52" t="s">
        <v>558</v>
      </c>
      <c r="H47" s="63" t="str">
        <f>IF(VLOOKUP($G47,List!$A:$O,15,FALSE)=0,"",VLOOKUP($G47,List!$A:$O,15,FALSE))</f>
        <v>Y</v>
      </c>
      <c r="I47" s="47" t="str">
        <f>VLOOKUP($G47,List!$A:$U,2,FALSE)</f>
        <v>As Granada, form Andalusia and reconquer all of Iberia.</v>
      </c>
      <c r="J47" s="55">
        <f>VLOOKUP($G47,List!$A:$U,3,FALSE)</f>
        <v>1.7999999999999999E-2</v>
      </c>
      <c r="K47" s="6" t="str">
        <f>VLOOKUP($G47,List!$A:$U,4,FALSE)</f>
        <v>H</v>
      </c>
      <c r="L47" s="50">
        <f>VLOOKUP($G47,List!$A:$U,5,FALSE)</f>
        <v>141</v>
      </c>
      <c r="M47" s="47" t="str">
        <f>VLOOKUP($G47,List!$A:$U,17,FALSE)</f>
        <v>Playing as Granada</v>
      </c>
      <c r="N47" s="50" t="s">
        <v>1823</v>
      </c>
      <c r="O47" s="49" t="str">
        <f>VLOOKUP($G47,List!$A:$U,18,FALSE)</f>
        <v>- Is Andalusia
- Own and core all provinces of Iberia</v>
      </c>
      <c r="P47" s="49" t="str">
        <f>VLOOKUP($G47,List!$A:$U,19,FALSE)</f>
        <v>Optimal strategy is to start expanding to north Africa by picking weak 
targets like Tlemcen and Tunis. After the initial expansions, secure an 
alliance with either Ottomans or Mamluks as soon as possible. Colonizing 
North America early can boost your income and drastically weaken the 
economy of Spain.</v>
      </c>
    </row>
    <row r="48" spans="1:16" ht="30" customHeight="1" x14ac:dyDescent="0.25">
      <c r="A48" s="39" t="s">
        <v>1928</v>
      </c>
      <c r="B48" s="60" t="s">
        <v>1757</v>
      </c>
      <c r="C48" s="4" t="s">
        <v>242</v>
      </c>
      <c r="D48" s="27">
        <f t="shared" si="1"/>
        <v>144.5</v>
      </c>
      <c r="E48" s="31">
        <f>D48/'Top 10 Hard'!$J$2</f>
        <v>3.9089868825762011E-3</v>
      </c>
      <c r="F48" s="31">
        <f>IF(NOT(ISNUMBER(F47)),0,F47)+Table1[[#This Row],[Points]]/'Top 10 Hard'!$J$2</f>
        <v>0.54957379869664424</v>
      </c>
      <c r="G48" s="51" t="s">
        <v>466</v>
      </c>
      <c r="H48" s="64" t="str">
        <f>IF(VLOOKUP($G48,List!$A:$O,15,FALSE)=0,"",VLOOKUP($G48,List!$A:$O,15,FALSE))</f>
        <v>Y</v>
      </c>
      <c r="I48" s="42" t="str">
        <f>VLOOKUP($G48,List!$A:$U,2,FALSE)</f>
        <v>Starting as Delhi, Restore their Empire's borders.</v>
      </c>
      <c r="J48" s="54">
        <f>VLOOKUP($G48,List!$A:$U,3,FALSE)</f>
        <v>1.0999999999999999E-2</v>
      </c>
      <c r="K48" s="4" t="str">
        <f>VLOOKUP($G48,List!$A:$U,4,FALSE)</f>
        <v>H</v>
      </c>
      <c r="L48" s="44">
        <f>VLOOKUP($G48,List!$A:$U,5,FALSE)</f>
        <v>144.5</v>
      </c>
      <c r="M48" s="42" t="str">
        <f>VLOOKUP($G48,List!$A:$U,17,FALSE)</f>
        <v>Playing as Delhi</v>
      </c>
      <c r="N48" s="44" t="s">
        <v>1823</v>
      </c>
      <c r="O48" s="43" t="str">
        <f>VLOOKUP($G48,List!$A:$U,18,FALSE)</f>
        <v>The following provinces are owned by the country *or* its non-tributary 
subjects:</v>
      </c>
      <c r="P48" s="48" t="str">
        <f>VLOOKUP($G48,List!$A:$U,19,FALSE)</f>
        <v>Avoid the event at the start of the game that attempts to free Sirhind by 
using the 'place relative on throne' subject interaction right away. To 
make them loyal you can do development in their land, remember that it 
costs 0 dip to integrate them as you already start with cores. Focus on 
expanding south and northwest to begin the game. 
Alternatively, get lots of allies and let the event fire. Sirhind will 
attack you without any allies such as Jaunpur. Right before confirming the 
independence war option in the event, concentrate development from 
Sirhind's provinces, so you can fully annex it in the peace deal. 
Provinces owned by vassals and other non-tributary subjects of the player's 
country will count for the achievement.</v>
      </c>
    </row>
    <row r="49" spans="1:16" ht="30" customHeight="1" x14ac:dyDescent="0.25">
      <c r="A49" s="45" t="s">
        <v>1929</v>
      </c>
      <c r="B49" s="59" t="s">
        <v>1872</v>
      </c>
      <c r="C49" s="4" t="s">
        <v>242</v>
      </c>
      <c r="D49" s="27">
        <f t="shared" si="1"/>
        <v>74.25</v>
      </c>
      <c r="E49" s="31">
        <f>D49/'Top 10 Hard'!$J$2</f>
        <v>2.0085970659604359E-3</v>
      </c>
      <c r="F49" s="31">
        <f>IF(NOT(ISNUMBER(F48)),0,F48)+Table1[[#This Row],[Points]]/'Top 10 Hard'!$J$2</f>
        <v>0.5515823957626047</v>
      </c>
      <c r="G49" s="52" t="s">
        <v>291</v>
      </c>
      <c r="H49" s="63" t="str">
        <f>IF(VLOOKUP($G49,List!$A:$O,15,FALSE)=0,"",VLOOKUP($G49,List!$A:$O,15,FALSE))</f>
        <v>Y</v>
      </c>
      <c r="I49" s="47" t="str">
        <f>VLOOKUP($G49,List!$A:$U,2,FALSE)</f>
        <v>Starting as Mutapa, convert to Judaism and celebrate a festival.</v>
      </c>
      <c r="J49" s="55">
        <f>VLOOKUP($G49,List!$A:$U,3,FALSE)</f>
        <v>3.0000000000000001E-3</v>
      </c>
      <c r="K49" s="4" t="str">
        <f>VLOOKUP($G49,List!$A:$U,4,FALSE)</f>
        <v>M</v>
      </c>
      <c r="L49" s="50">
        <f>VLOOKUP($G49,List!$A:$U,5,FALSE)</f>
        <v>74.25</v>
      </c>
      <c r="M49" s="47" t="str">
        <f>VLOOKUP($G49,List!$A:$U,17,FALSE)</f>
        <v>Playing as Mutapa</v>
      </c>
      <c r="N49" s="50" t="s">
        <v>1823</v>
      </c>
      <c r="O49" s="49" t="str">
        <f>VLOOKUP($G49,List!$A:$U,18,FALSE)</f>
        <v>- Religion is Jewish
- Has used the Jewish religion action *“Celebrate Festival”*</v>
      </c>
      <c r="P49" s="38" t="str">
        <f>VLOOKUP($G49,List!$A:$U,19,FALSE)</f>
        <v>This achievement is misspelled as *“Hannukah Mutapa”* in the steam version 
of the game. 
At the start of the game the 2 only Jewish provinces are in Ethiopia, due 
to Ethiopia's missions the AI will always pick the option to temporarily 
accept Jewish religion, giving you 25 years to take them. 
Mutapa's gold mines should allow you to go over force limit and quickly 
declare a war of conquest against Kilwa despite the technology 
disadvantage. With additional 3 gold mines in Butua after annexing vassal 
Butua and conquering Sofala and Kilwa even more mercenaries over force 
limit can be paid. Focus on military mana to not fall further behind 
Ethiopia and nations lying in the way to the jewish provinces.</v>
      </c>
    </row>
    <row r="50" spans="1:16" ht="30" customHeight="1" x14ac:dyDescent="0.25">
      <c r="A50" s="39" t="s">
        <v>1930</v>
      </c>
      <c r="B50" s="60" t="s">
        <v>1888</v>
      </c>
      <c r="C50" s="4" t="s">
        <v>434</v>
      </c>
      <c r="D50" s="27">
        <f t="shared" si="1"/>
        <v>219</v>
      </c>
      <c r="E50" s="31">
        <f>D50/'Top 10 Hard'!$J$2</f>
        <v>5.9243469016206788E-3</v>
      </c>
      <c r="F50" s="31">
        <f>IF(NOT(ISNUMBER(F49)),0,F49)+Table1[[#This Row],[Points]]/'Top 10 Hard'!$J$2</f>
        <v>0.55357070396931296</v>
      </c>
      <c r="G50" s="51" t="s">
        <v>348</v>
      </c>
      <c r="H50" s="64" t="str">
        <f>IF(VLOOKUP($G50,List!$A:$O,15,FALSE)=0,"",VLOOKUP($G50,List!$A:$O,15,FALSE))</f>
        <v>Y</v>
      </c>
      <c r="I50" s="42" t="str">
        <f>VLOOKUP($G50,List!$A:$U,2,FALSE)</f>
        <v>As Pegu, own at least 50 provinces that are not of the Mon culture.</v>
      </c>
      <c r="J50" s="54">
        <f>VLOOKUP($G50,List!$A:$U,3,FALSE)</f>
        <v>6.0000000000000001E-3</v>
      </c>
      <c r="K50" s="4" t="str">
        <f>VLOOKUP($G50,List!$A:$U,4,FALSE)</f>
        <v>M</v>
      </c>
      <c r="L50" s="44">
        <f>VLOOKUP($G50,List!$A:$U,5,FALSE)</f>
        <v>73.5</v>
      </c>
      <c r="M50" s="42" t="str">
        <f>VLOOKUP($G50,List!$A:$U,17,FALSE)</f>
        <v>- Playing as Pegu
- *Not* using a random New World</v>
      </c>
      <c r="N50" s="44" t="s">
        <v>1823</v>
      </c>
      <c r="O50" s="43" t="str">
        <f>VLOOKUP($G50,List!$A:$U,18,FALSE)</f>
        <v>- Is Pegu
- At least 50 owned provinces do not have Mon culture</v>
      </c>
      <c r="P50" s="48" t="str">
        <f>VLOOKUP($G50,List!$A:$U,19,FALSE)</f>
        <v>This achievement is only visible if the Leviathan DLC is active, but it can 
be achieved even without the DLC. This can be done at the same time as the Sailor 
Mon achievement, and will often occur without any additional effort. With 
Leviathan, the Pegu mission tree grants a subjugation cb on Ayutthaya, 
which can lead to quite a large acquisition of provinces. The player can 
also flip cultures to Burmese to ensure colonies are not of Mon culture and 
can culture convert their original provinces to a new culture.</v>
      </c>
    </row>
    <row r="51" spans="1:16" ht="30" customHeight="1" x14ac:dyDescent="0.25">
      <c r="A51" s="39" t="s">
        <v>1930</v>
      </c>
      <c r="B51" s="60" t="s">
        <v>1888</v>
      </c>
      <c r="C51" s="4" t="s">
        <v>434</v>
      </c>
      <c r="D51" s="27">
        <f t="shared" si="1"/>
        <v>219</v>
      </c>
      <c r="E51" s="31">
        <f>D51/'Top 10 Hard'!$J$2</f>
        <v>5.9243469016206788E-3</v>
      </c>
      <c r="F51" s="31">
        <f>IF(NOT(ISNUMBER(F50)),0,F50)+Table1[[#This Row],[Points]]/'Top 10 Hard'!$J$2</f>
        <v>0.55750674266422529</v>
      </c>
      <c r="G51" s="51" t="s">
        <v>507</v>
      </c>
      <c r="H51" s="64" t="str">
        <f>IF(VLOOKUP($G51,List!$A:$O,15,FALSE)=0,"",VLOOKUP($G51,List!$A:$O,15,FALSE))</f>
        <v>Y</v>
      </c>
      <c r="I51" s="42" t="str">
        <f>VLOOKUP($G51,List!$A:$U,2,FALSE)</f>
        <v>As Pegu, have at least 100,000 sailors.</v>
      </c>
      <c r="J51" s="54">
        <f>VLOOKUP($G51,List!$A:$U,3,FALSE)</f>
        <v>8.9999999999999993E-3</v>
      </c>
      <c r="K51" s="4" t="str">
        <f>VLOOKUP($G51,List!$A:$U,4,FALSE)</f>
        <v>H</v>
      </c>
      <c r="L51" s="44">
        <f>VLOOKUP($G51,List!$A:$U,5,FALSE)</f>
        <v>145.5</v>
      </c>
      <c r="M51" s="42" t="str">
        <f>VLOOKUP($G51,List!$A:$U,17,FALSE)</f>
        <v>Playing as Pegu</v>
      </c>
      <c r="N51" s="44" t="s">
        <v>1823</v>
      </c>
      <c r="O51" s="43" t="str">
        <f>VLOOKUP($G51,List!$A:$U,18,FALSE)</f>
        <v>Have at least 100,000 sailors</v>
      </c>
      <c r="P51" s="48" t="str">
        <f>VLOOKUP($G51,List!$A:$U,19,FALSE)</f>
        <v>The achievement needs 100k sailors in the sailor pool. The maximum sailors 
don't matter. Exploiting production development in coastal provinces 
generates sailors even if the maximum has already been reached, but this 
reduces the maximum, so it is only useful if 100k can actually be reached 
in this way.</v>
      </c>
    </row>
    <row r="52" spans="1:16" ht="30" customHeight="1" x14ac:dyDescent="0.25">
      <c r="A52" s="45" t="s">
        <v>1931</v>
      </c>
      <c r="B52" s="59" t="s">
        <v>1861</v>
      </c>
      <c r="C52" s="4" t="s">
        <v>434</v>
      </c>
      <c r="D52" s="27">
        <f t="shared" si="1"/>
        <v>144.5</v>
      </c>
      <c r="E52" s="31">
        <f>D52/'Top 10 Hard'!$J$2</f>
        <v>3.9089868825762011E-3</v>
      </c>
      <c r="F52" s="31">
        <f>IF(NOT(ISNUMBER(F51)),0,F51)+Table1[[#This Row],[Points]]/'Top 10 Hard'!$J$2</f>
        <v>0.56141572954680152</v>
      </c>
      <c r="G52" s="52" t="s">
        <v>458</v>
      </c>
      <c r="H52" s="63" t="str">
        <f>IF(VLOOKUP($G52,List!$A:$O,15,FALSE)=0,"",VLOOKUP($G52,List!$A:$O,15,FALSE))</f>
        <v>Y</v>
      </c>
      <c r="I52" s="47" t="str">
        <f>VLOOKUP($G52,List!$A:$U,2,FALSE)</f>
        <v>As Mazovia, Glogow or Opole, form the nation of Poland.</v>
      </c>
      <c r="J52" s="55">
        <f>VLOOKUP($G52,List!$A:$U,3,FALSE)</f>
        <v>1.0999999999999999E-2</v>
      </c>
      <c r="K52" s="6" t="str">
        <f>VLOOKUP($G52,List!$A:$U,4,FALSE)</f>
        <v>H</v>
      </c>
      <c r="L52" s="50">
        <f>VLOOKUP($G52,List!$A:$U,5,FALSE)</f>
        <v>144.5</v>
      </c>
      <c r="M52" s="47" t="str">
        <f>VLOOKUP($G52,List!$A:$U,17,FALSE)</f>
        <v>Playing as *either*: 
- Mazovia
- Silesia
- Opole
- Glogow</v>
      </c>
      <c r="N52" s="50" t="s">
        <v>1823</v>
      </c>
      <c r="O52" s="49" t="str">
        <f>VLOOKUP($G52,List!$A:$U,18,FALSE)</f>
        <v>- *Not* playing as a released vassal
- Is Poland</v>
      </c>
      <c r="P52" s="49">
        <f>VLOOKUP($G52,List!$A:$U,19,FALSE)</f>
        <v>0</v>
      </c>
    </row>
    <row r="53" spans="1:16" ht="30" customHeight="1" x14ac:dyDescent="0.25">
      <c r="A53" s="39" t="s">
        <v>2053</v>
      </c>
      <c r="B53" s="60" t="s">
        <v>1875</v>
      </c>
      <c r="C53" s="4" t="s">
        <v>434</v>
      </c>
      <c r="D53" s="27">
        <f t="shared" si="1"/>
        <v>146</v>
      </c>
      <c r="E53" s="31">
        <f>D53/'Top 10 Hard'!$J$2</f>
        <v>3.9495646010804528E-3</v>
      </c>
      <c r="F53" s="31">
        <f>IF(NOT(ISNUMBER(F52)),0,F52)+Table1[[#This Row],[Points]]/'Top 10 Hard'!$J$2</f>
        <v>0.56536529414788195</v>
      </c>
      <c r="G53" s="51" t="s">
        <v>475</v>
      </c>
      <c r="H53" s="64" t="str">
        <f>IF(VLOOKUP($G53,List!$A:$O,15,FALSE)=0,"",VLOOKUP($G53,List!$A:$O,15,FALSE))</f>
        <v/>
      </c>
      <c r="I53" s="42" t="str">
        <f>VLOOKUP($G53,List!$A:$U,2,FALSE)</f>
        <v>Starting as the Teutonic Order, form the Mongol Empire while have the Holy 
Horde government reform enacted.</v>
      </c>
      <c r="J53" s="54">
        <f>VLOOKUP($G53,List!$A:$U,3,FALSE)</f>
        <v>8.0000000000000002E-3</v>
      </c>
      <c r="K53" s="4" t="str">
        <f>VLOOKUP($G53,List!$A:$U,4,FALSE)</f>
        <v>H</v>
      </c>
      <c r="L53" s="44">
        <f>VLOOKUP($G53,List!$A:$U,5,FALSE)</f>
        <v>146</v>
      </c>
      <c r="M53" s="42" t="str">
        <f>VLOOKUP($G53,List!$A:$U,17,FALSE)</f>
        <v>Playing as Teutonic Order</v>
      </c>
      <c r="N53" s="44" t="s">
        <v>1823</v>
      </c>
      <c r="O53" s="43" t="str">
        <f>VLOOKUP($G53,List!$A:$U,18,FALSE)</f>
        <v>- *Not* playing as a released vassal
- Is the Mongol Empire
- Has enacted the Holy Horde government reform</v>
      </c>
      <c r="P53" s="48" t="str">
        <f>VLOOKUP($G53,List!$A:$U,19,FALSE)</f>
        <v>To form the Mongol Empire as the Teutonic Order you need to choose the 
crusader path of missions after completing Defeat Poland, this will unlock 
the mission Crusaders of the Steppes which allows forming the Mongol Empire 
due to the unique government reform.</v>
      </c>
    </row>
    <row r="54" spans="1:16" ht="30" customHeight="1" x14ac:dyDescent="0.25">
      <c r="A54" s="39" t="s">
        <v>1932</v>
      </c>
      <c r="B54" s="60" t="s">
        <v>1875</v>
      </c>
      <c r="C54" s="4" t="s">
        <v>434</v>
      </c>
      <c r="D54" s="27">
        <f t="shared" si="1"/>
        <v>236.85</v>
      </c>
      <c r="E54" s="31">
        <f>D54/'Top 10 Hard'!$J$2</f>
        <v>6.4072217518212687E-3</v>
      </c>
      <c r="F54" s="31">
        <f>IF(NOT(ISNUMBER(F53)),0,F53)+Table1[[#This Row],[Points]]/'Top 10 Hard'!$J$2</f>
        <v>0.56733331349533811</v>
      </c>
      <c r="G54" s="51" t="s">
        <v>404</v>
      </c>
      <c r="H54" s="64" t="str">
        <f>IF(VLOOKUP($G54,List!$A:$O,15,FALSE)=0,"",VLOOKUP($G54,List!$A:$O,15,FALSE))</f>
        <v>Y</v>
      </c>
      <c r="I54" s="42" t="str">
        <f>VLOOKUP($G54,List!$A:$U,2,FALSE)</f>
        <v>Form Prussia or Germany, have the Empire government rank and 40.000 
Marines raised at the same time.</v>
      </c>
      <c r="J54" s="54">
        <f>VLOOKUP($G54,List!$A:$U,3,FALSE)</f>
        <v>8.9999999999999993E-3</v>
      </c>
      <c r="K54" s="4" t="str">
        <f>VLOOKUP($G54,List!$A:$U,4,FALSE)</f>
        <v>M</v>
      </c>
      <c r="L54" s="44">
        <f>VLOOKUP($G54,List!$A:$U,5,FALSE)</f>
        <v>72.75</v>
      </c>
      <c r="M54" s="42">
        <f>VLOOKUP($G54,List!$A:$U,17,FALSE)</f>
        <v>0</v>
      </c>
      <c r="N54" s="44" t="s">
        <v>1823</v>
      </c>
      <c r="O54" s="43" t="str">
        <f>VLOOKUP($G54,List!$A:$U,18,FALSE)</f>
        <v>- Is Prussia*or*Germany
- Is an empire
- Has at least 40 marine regiments</v>
      </c>
      <c r="P54" s="48">
        <f>VLOOKUP($G54,List!$A:$U,19,FALSE)</f>
        <v>0</v>
      </c>
    </row>
    <row r="55" spans="1:16" ht="30" customHeight="1" x14ac:dyDescent="0.25">
      <c r="A55" s="39" t="s">
        <v>1932</v>
      </c>
      <c r="B55" s="60" t="s">
        <v>1875</v>
      </c>
      <c r="C55" s="4" t="s">
        <v>434</v>
      </c>
      <c r="D55" s="27">
        <f t="shared" si="1"/>
        <v>236.85</v>
      </c>
      <c r="E55" s="31">
        <f>D55/'Top 10 Hard'!$J$2</f>
        <v>6.4072217518212687E-3</v>
      </c>
      <c r="F55" s="31">
        <f>IF(NOT(ISNUMBER(F54)),0,F54)+Table1[[#This Row],[Points]]/'Top 10 Hard'!$J$2</f>
        <v>0.56797173626647168</v>
      </c>
      <c r="G55" s="51" t="s">
        <v>212</v>
      </c>
      <c r="H55" s="64" t="str">
        <f>IF(VLOOKUP($G55,List!$A:$O,15,FALSE)=0,"",VLOOKUP($G55,List!$A:$O,15,FALSE))</f>
        <v>Y</v>
      </c>
      <c r="I55" s="42" t="str">
        <f>VLOOKUP($G55,List!$A:$U,2,FALSE)</f>
        <v>Form Prussia and have at least 125% Discipline.</v>
      </c>
      <c r="J55" s="54">
        <f>VLOOKUP($G55,List!$A:$U,3,FALSE)</f>
        <v>6.4000000000000001E-2</v>
      </c>
      <c r="K55" s="4" t="str">
        <f>VLOOKUP($G55,List!$A:$U,4,FALSE)</f>
        <v>E</v>
      </c>
      <c r="L55" s="44">
        <f>VLOOKUP($G55,List!$A:$U,5,FALSE)</f>
        <v>23.6</v>
      </c>
      <c r="M55" s="42">
        <f>VLOOKUP($G55,List!$A:$U,17,FALSE)</f>
        <v>0</v>
      </c>
      <c r="N55" s="44" t="s">
        <v>1823</v>
      </c>
      <c r="O55" s="43" t="str">
        <f>VLOOKUP($G55,List!$A:$U,18,FALSE)</f>
        <v>- *Not* playing as a released vassal
- Is Prussia
- Have 125% discipline</v>
      </c>
      <c r="P55" s="48" t="str">
        <f>VLOOKUP($G55,List!$A:$U,19,FALSE)</f>
        <v>The following actions can increase Prussian discipline: 
- Increasing Militarization of Country (maximum *+10%*)
- Increasing Absolutism (maximum *+5%*)
- Completing Quality Ideas (*+5%*)
- Unlocking “Esprit de Corps” in Offensive ideas (*+5%*)
- Economic-Quality policy “Weapon Quality Standards” (*+5%*)
- Unlocking the Prussian ambition (*+5%*)
- Having a Commandant advisor (*+5%*)
- Having a ruler with the “Strict” personality (*+5%*)
- Converting to Protestantism and obtaining the Aspect of Faith “Holy 
Sacraments” (*+2.5%*)</v>
      </c>
    </row>
    <row r="56" spans="1:16" ht="30" customHeight="1" x14ac:dyDescent="0.25">
      <c r="A56" s="39" t="s">
        <v>1932</v>
      </c>
      <c r="B56" s="60" t="s">
        <v>1875</v>
      </c>
      <c r="C56" s="4" t="s">
        <v>434</v>
      </c>
      <c r="D56" s="27">
        <f t="shared" si="1"/>
        <v>236.85</v>
      </c>
      <c r="E56" s="31">
        <f>D56/'Top 10 Hard'!$J$2</f>
        <v>6.4072217518212687E-3</v>
      </c>
      <c r="F56" s="31">
        <f>IF(NOT(ISNUMBER(F55)),0,F55)+Table1[[#This Row],[Points]]/'Top 10 Hard'!$J$2</f>
        <v>0.57177251589970324</v>
      </c>
      <c r="G56" s="51" t="s">
        <v>460</v>
      </c>
      <c r="H56" s="64" t="str">
        <f>IF(VLOOKUP($G56,List!$A:$O,15,FALSE)=0,"",VLOOKUP($G56,List!$A:$O,15,FALSE))</f>
        <v>Y</v>
      </c>
      <c r="I56" s="42" t="str">
        <f>VLOOKUP($G56,List!$A:$U,2,FALSE)</f>
        <v>As Teutonic Order or Livonian Order, own all of Russia as core provinces 
and convert it to Catholic.</v>
      </c>
      <c r="J56" s="54">
        <f>VLOOKUP($G56,List!$A:$U,3,FALSE)</f>
        <v>1.9E-2</v>
      </c>
      <c r="K56" s="4" t="str">
        <f>VLOOKUP($G56,List!$A:$U,4,FALSE)</f>
        <v>H</v>
      </c>
      <c r="L56" s="44">
        <f>VLOOKUP($G56,List!$A:$U,5,FALSE)</f>
        <v>140.5</v>
      </c>
      <c r="M56" s="42" t="str">
        <f>VLOOKUP($G56,List!$A:$U,17,FALSE)</f>
        <v>Playing as *either*: 
- Livonian Order
- Teutonic Order</v>
      </c>
      <c r="N56" s="44" t="s">
        <v>1823</v>
      </c>
      <c r="O56" s="43" t="str">
        <f>VLOOKUP($G56,List!$A:$U,18,FALSE)</f>
        <v>- *Not* playing as a released vassal
- Is Livonian Order or Teutonic Order
- Own and core all fully colonized provinces in the Pontic Steppe, Russia, 
and Ural regions.
- All these provinces are Catholic</v>
      </c>
      <c r="P56" s="48" t="str">
        <f>VLOOKUP($G56,List!$A:$U,19,FALSE)</f>
        <v>Easiest as Teutonic Order; ally Muscovy, Austria and Bohemia and DOW Poland 
ASAP, or else Poland will form a PU with Lithuania. Restarting until Poland 
declines the PU is also a viable strategy.</v>
      </c>
    </row>
    <row r="57" spans="1:16" ht="30" customHeight="1" x14ac:dyDescent="0.25">
      <c r="A57" s="45" t="s">
        <v>1933</v>
      </c>
      <c r="B57" s="59" t="s">
        <v>1786</v>
      </c>
      <c r="C57" s="4" t="s">
        <v>242</v>
      </c>
      <c r="D57" s="27">
        <f t="shared" si="1"/>
        <v>72.25</v>
      </c>
      <c r="E57" s="31">
        <f>D57/'Top 10 Hard'!$J$2</f>
        <v>1.9544934412881005E-3</v>
      </c>
      <c r="F57" s="31">
        <f>IF(NOT(ISNUMBER(F56)),0,F56)+Table1[[#This Row],[Points]]/'Top 10 Hard'!$J$2</f>
        <v>0.5737270093409913</v>
      </c>
      <c r="G57" s="52" t="s">
        <v>366</v>
      </c>
      <c r="H57" s="63" t="str">
        <f>IF(VLOOKUP($G57,List!$A:$O,15,FALSE)=0,"",VLOOKUP($G57,List!$A:$O,15,FALSE))</f>
        <v>Y</v>
      </c>
      <c r="I57" s="47" t="str">
        <f>VLOOKUP($G57,List!$A:$U,2,FALSE)</f>
        <v>Starting as Morocco, conquer the Niger and Sahel Regions.</v>
      </c>
      <c r="J57" s="55">
        <f>VLOOKUP($G57,List!$A:$U,3,FALSE)</f>
        <v>1.0999999999999999E-2</v>
      </c>
      <c r="K57" s="4" t="str">
        <f>VLOOKUP($G57,List!$A:$U,4,FALSE)</f>
        <v>M</v>
      </c>
      <c r="L57" s="50">
        <f>VLOOKUP($G57,List!$A:$U,5,FALSE)</f>
        <v>72.25</v>
      </c>
      <c r="M57" s="47" t="str">
        <f>VLOOKUP($G57,List!$A:$U,17,FALSE)</f>
        <v>Playing as Morocco</v>
      </c>
      <c r="N57" s="50" t="s">
        <v>1823</v>
      </c>
      <c r="O57" s="49" t="str">
        <f>VLOOKUP($G57,List!$A:$U,18,FALSE)</f>
        <v>Own all of the Niger and Sahel regions</v>
      </c>
      <c r="P57" s="38" t="str">
        <f>VLOOKUP($G57,List!$A:$U,19,FALSE)</f>
        <v>*For the event see: The Sudanese Expedition.*
The initial crossing of the Sahara can be done by mission so you don't need 
to take a colonial idea group first. Later, the provinces of Yola, Wukari, 
Bauchi, and Djado do NOT need to be fully colonized, building a colony will 
suffice.</v>
      </c>
    </row>
    <row r="58" spans="1:16" ht="30" customHeight="1" x14ac:dyDescent="0.25">
      <c r="A58" s="39" t="s">
        <v>1934</v>
      </c>
      <c r="B58" s="60" t="s">
        <v>1881</v>
      </c>
      <c r="C58" s="4" t="s">
        <v>434</v>
      </c>
      <c r="D58" s="27">
        <f t="shared" si="1"/>
        <v>148</v>
      </c>
      <c r="E58" s="31">
        <f>D58/'Top 10 Hard'!$J$2</f>
        <v>4.0036682257527873E-3</v>
      </c>
      <c r="F58" s="31">
        <f>IF(NOT(ISNUMBER(F57)),0,F57)+Table1[[#This Row],[Points]]/'Top 10 Hard'!$J$2</f>
        <v>0.57773067756674412</v>
      </c>
      <c r="G58" s="51" t="s">
        <v>553</v>
      </c>
      <c r="H58" s="64" t="str">
        <f>IF(VLOOKUP($G58,List!$A:$O,15,FALSE)=0,"",VLOOKUP($G58,List!$A:$O,15,FALSE))</f>
        <v/>
      </c>
      <c r="I58" s="42" t="str">
        <f>VLOOKUP($G58,List!$A:$U,2,FALSE)</f>
        <v>As Deli, have your capital in the Delhi province.</v>
      </c>
      <c r="J58" s="54">
        <f>VLOOKUP($G58,List!$A:$U,3,FALSE)</f>
        <v>4.0000000000000001E-3</v>
      </c>
      <c r="K58" s="4" t="str">
        <f>VLOOKUP($G58,List!$A:$U,4,FALSE)</f>
        <v>H</v>
      </c>
      <c r="L58" s="44">
        <f>VLOOKUP($G58,List!$A:$U,5,FALSE)</f>
        <v>148</v>
      </c>
      <c r="M58" s="42" t="str">
        <f>VLOOKUP($G58,List!$A:$U,17,FALSE)</f>
        <v>- Playing as Deli
- *Not* using a random New World</v>
      </c>
      <c r="N58" s="44" t="s">
        <v>1823</v>
      </c>
      <c r="O58" s="43" t="str">
        <f>VLOOKUP($G58,List!$A:$U,18,FALSE)</f>
        <v>- Is Deli
- Capital is Delhi (522)</v>
      </c>
      <c r="P58" s="48" t="str">
        <f>VLOOKUP($G58,List!$A:$U,19,FALSE)</f>
        <v>This achievement is only visible if the Leviathan DLC is active, but it can 
be achieved even without the DLC. 
Can be done in 5–10 years, depending on RNG. Broadly: get as many allies as 
you can to deter coalition. Vassalize an OPM adjacent to Delhi, preferably 
Garhwal or Sirmur to even the AE. Then conquer Delhi (and some needed to 
connect). Give every other territories to vassals, or sell them to other 
countries. In a war, lose your capital Riau, after that Delhi will be the 
new capital.</v>
      </c>
    </row>
    <row r="59" spans="1:16" ht="30" customHeight="1" x14ac:dyDescent="0.25">
      <c r="A59" s="45" t="s">
        <v>1935</v>
      </c>
      <c r="B59" s="59" t="s">
        <v>1882</v>
      </c>
      <c r="C59" s="4" t="s">
        <v>242</v>
      </c>
      <c r="D59" s="27">
        <f t="shared" si="1"/>
        <v>74</v>
      </c>
      <c r="E59" s="31">
        <f>D59/'Top 10 Hard'!$J$2</f>
        <v>2.0018341128763936E-3</v>
      </c>
      <c r="F59" s="31">
        <f>IF(NOT(ISNUMBER(F58)),0,F58)+Table1[[#This Row],[Points]]/'Top 10 Hard'!$J$2</f>
        <v>0.57973251167962048</v>
      </c>
      <c r="G59" s="52" t="s">
        <v>288</v>
      </c>
      <c r="H59" s="63" t="str">
        <f>IF(VLOOKUP($G59,List!$A:$O,15,FALSE)=0,"",VLOOKUP($G59,List!$A:$O,15,FALSE))</f>
        <v>Y</v>
      </c>
      <c r="I59" s="47" t="str">
        <f>VLOOKUP($G59,List!$A:$U,2,FALSE)</f>
        <v>As Air, make 50 ducats profit per month and have 50% of your income made 
through gold provinces.</v>
      </c>
      <c r="J59" s="55">
        <f>VLOOKUP($G59,List!$A:$U,3,FALSE)</f>
        <v>4.0000000000000001E-3</v>
      </c>
      <c r="K59" s="4" t="str">
        <f>VLOOKUP($G59,List!$A:$U,4,FALSE)</f>
        <v>M</v>
      </c>
      <c r="L59" s="50">
        <f>VLOOKUP($G59,List!$A:$U,5,FALSE)</f>
        <v>74</v>
      </c>
      <c r="M59" s="47" t="str">
        <f>VLOOKUP($G59,List!$A:$U,17,FALSE)</f>
        <v>Playing as Air</v>
      </c>
      <c r="N59" s="50" t="s">
        <v>1823</v>
      </c>
      <c r="O59" s="49" t="str">
        <f>VLOOKUP($G59,List!$A:$U,18,FALSE)</f>
        <v>- Is Air
- monthly balance is at least *50*
- 50% of the monthly income is from gold</v>
      </c>
      <c r="P59" s="38" t="str">
        <f>VLOOKUP($G59,List!$A:$U,19,FALSE)</f>
        <v>This achievement is only visible if the Origins DLC is active, but no DLC 
is needed to complete it. 
As Air consider royal marrying Songhai and Mali and improving relations 
after to get an alliance. Both should start neutral most of the time and 
are strong allies. After, look for choice targets and build over force 
limit by hiring a free company. Air starts with a level 2 fort on their 
capital so rushing smaller enemy capital forts is a viable strategy, no 
need to take unnecessary battles. 
You need 50 positive balance, not income. Consider disbanding armies, 
firing advisors and deleting forts when your income is over 60 ducats, with 
at least 50% gold income. Almost all expenses can be reduced to near 0 
except for state maintenance. To get enough gold income controlling and 
developing the three gold mines in West Africa should be enough. In 1444 
two are owned by Mali and one by Kong.</v>
      </c>
    </row>
    <row r="60" spans="1:16" ht="30" customHeight="1" x14ac:dyDescent="0.25">
      <c r="A60" s="39" t="s">
        <v>1936</v>
      </c>
      <c r="B60" s="60" t="s">
        <v>1826</v>
      </c>
      <c r="C60" s="4" t="s">
        <v>434</v>
      </c>
      <c r="D60" s="27">
        <f t="shared" si="1"/>
        <v>279</v>
      </c>
      <c r="E60" s="31">
        <f>D60/'Top 10 Hard'!$J$2</f>
        <v>7.547455641790728E-3</v>
      </c>
      <c r="F60" s="31">
        <f>IF(NOT(ISNUMBER(F59)),0,F59)+Table1[[#This Row],[Points]]/'Top 10 Hard'!$J$2</f>
        <v>0.58353329131285203</v>
      </c>
      <c r="G60" s="51" t="s">
        <v>505</v>
      </c>
      <c r="H60" s="64" t="str">
        <f>IF(VLOOKUP($G60,List!$A:$O,15,FALSE)=0,"",VLOOKUP($G60,List!$A:$O,15,FALSE))</f>
        <v>Y</v>
      </c>
      <c r="I60" s="42" t="str">
        <f>VLOOKUP($G60,List!$A:$U,2,FALSE)</f>
        <v>Starting as Ethiopia, own and have cores on Alexandria, Antioch and 
Constantinople as a Coptic country.</v>
      </c>
      <c r="J60" s="54">
        <f>VLOOKUP($G60,List!$A:$U,3,FALSE)</f>
        <v>1.9E-2</v>
      </c>
      <c r="K60" s="4" t="str">
        <f>VLOOKUP($G60,List!$A:$U,4,FALSE)</f>
        <v>H</v>
      </c>
      <c r="L60" s="44">
        <f>VLOOKUP($G60,List!$A:$U,5,FALSE)</f>
        <v>140.5</v>
      </c>
      <c r="M60" s="42" t="str">
        <f>VLOOKUP($G60,List!$A:$U,17,FALSE)</f>
        <v>Playing as Ethiopia</v>
      </c>
      <c r="N60" s="44" t="s">
        <v>1823</v>
      </c>
      <c r="O60" s="43" t="str">
        <f>VLOOKUP($G60,List!$A:$U,18,FALSE)</f>
        <v>- Is Coptic
- Own and core Alexandria, Antioch and Constantinople.</v>
      </c>
      <c r="P60" s="38" t="str">
        <f>VLOOKUP($G60,List!$A:$U,19,FALSE)</f>
        <v>The most challenging part is timing the war with the Mamluks so that they 
are beatable but haven't lost too much land to the Ottomans. Once you have 
a border on the Mediterranean, steal or trade for maps to see and ally 
European majors for fighting the Turks.</v>
      </c>
    </row>
    <row r="61" spans="1:16" ht="30" customHeight="1" x14ac:dyDescent="0.25">
      <c r="A61" s="39" t="s">
        <v>1936</v>
      </c>
      <c r="B61" s="60" t="s">
        <v>1826</v>
      </c>
      <c r="C61" s="4" t="s">
        <v>434</v>
      </c>
      <c r="D61" s="27">
        <f t="shared" si="1"/>
        <v>279</v>
      </c>
      <c r="E61" s="31">
        <f>D61/'Top 10 Hard'!$J$2</f>
        <v>7.547455641790728E-3</v>
      </c>
      <c r="F61" s="31">
        <f>IF(NOT(ISNUMBER(F60)),0,F60)+Table1[[#This Row],[Points]]/'Top 10 Hard'!$J$2</f>
        <v>0.58727996732141119</v>
      </c>
      <c r="G61" s="51" t="s">
        <v>447</v>
      </c>
      <c r="H61" s="64" t="str">
        <f>IF(VLOOKUP($G61,List!$A:$O,15,FALSE)=0,"",VLOOKUP($G61,List!$A:$O,15,FALSE))</f>
        <v>Y</v>
      </c>
      <c r="I61" s="42" t="str">
        <f>VLOOKUP($G61,List!$A:$U,2,FALSE)</f>
        <v>As a Coptic Nation, gain all 5 Blessings.</v>
      </c>
      <c r="J61" s="54">
        <f>VLOOKUP($G61,List!$A:$U,3,FALSE)</f>
        <v>2.3E-2</v>
      </c>
      <c r="K61" s="4" t="str">
        <f>VLOOKUP($G61,List!$A:$U,4,FALSE)</f>
        <v>H</v>
      </c>
      <c r="L61" s="44">
        <f>VLOOKUP($G61,List!$A:$U,5,FALSE)</f>
        <v>138.5</v>
      </c>
      <c r="M61" s="42">
        <f>VLOOKUP($G61,List!$A:$U,17,FALSE)</f>
        <v>0</v>
      </c>
      <c r="N61" s="44" t="s">
        <v>1823</v>
      </c>
      <c r="O61" s="43" t="str">
        <f>VLOOKUP($G61,List!$A:$U,18,FALSE)</f>
        <v>- Is Coptic
- Have 5 active blessings</v>
      </c>
      <c r="P61" s="38" t="str">
        <f>VLOOKUP($G61,List!$A:$U,19,FALSE)</f>
        <v>Player can start as Muslim nation (such as The Ottomans) and switch 
religion by rebels.</v>
      </c>
    </row>
    <row r="62" spans="1:16" ht="30" customHeight="1" x14ac:dyDescent="0.25">
      <c r="A62" s="45" t="s">
        <v>1937</v>
      </c>
      <c r="B62" s="59" t="s">
        <v>1883</v>
      </c>
      <c r="C62" s="4" t="s">
        <v>573</v>
      </c>
      <c r="D62" s="27">
        <f t="shared" si="1"/>
        <v>296</v>
      </c>
      <c r="E62" s="31">
        <f>D62/'Top 10 Hard'!$J$2</f>
        <v>8.0073364515055746E-3</v>
      </c>
      <c r="F62" s="31">
        <f>IF(NOT(ISNUMBER(F61)),0,F61)+Table1[[#This Row],[Points]]/'Top 10 Hard'!$J$2</f>
        <v>0.59528730377291672</v>
      </c>
      <c r="G62" s="52" t="s">
        <v>592</v>
      </c>
      <c r="H62" s="63" t="str">
        <f>IF(VLOOKUP($G62,List!$A:$O,15,FALSE)=0,"",VLOOKUP($G62,List!$A:$O,15,FALSE))</f>
        <v>Y</v>
      </c>
      <c r="I62" s="47" t="str">
        <f>VLOOKUP($G62,List!$A:$U,2,FALSE)</f>
        <v>Starting as The Isles, own 20 provinces by 1500, none of which are on 
Islands.</v>
      </c>
      <c r="J62" s="55">
        <f>VLOOKUP($G62,List!$A:$U,3,FALSE)</f>
        <v>4.0000000000000001E-3</v>
      </c>
      <c r="K62" s="4" t="str">
        <f>VLOOKUP($G62,List!$A:$U,4,FALSE)</f>
        <v>VH</v>
      </c>
      <c r="L62" s="50">
        <f>VLOOKUP($G62,List!$A:$U,5,FALSE)</f>
        <v>296</v>
      </c>
      <c r="M62" s="47" t="str">
        <f>VLOOKUP($G62,List!$A:$U,17,FALSE)</f>
        <v>- Playing as The Isles
- *Not* using a random New World</v>
      </c>
      <c r="N62" s="50" t="s">
        <v>1823</v>
      </c>
      <c r="O62" s="49" t="str">
        <f>VLOOKUP($G62,List!$A:$U,18,FALSE)</f>
        <v>- The year is before 1500
- owns at least 20 fully colonized provinces(cities) that are *not*on an 
island</v>
      </c>
      <c r="P62" s="48" t="str">
        <f>VLOOKUP($G62,List!$A:$U,19,FALSE)</f>
        <v>it is allowed to have provinces on islands, but these don't count towards 
the 20. Islands in the context of this achievement means any province which 
does not have a land connection to mainland continents, meaning any 
province in Britain or Ireland will not count. Unfinished colonies also 
don't count. An easy way to achieve this is to wait until one of the berber 
nations is without allies and noCB them. You can core Moroccan and Sus 
provinces with extended range from exploration ideas and the colonial range 
advisor. From there, you can keep eating North Africa, or go to West 
Africa. The provinces do not need to be cored.</v>
      </c>
    </row>
    <row r="63" spans="1:16" ht="30" customHeight="1" x14ac:dyDescent="0.25">
      <c r="A63" s="39" t="s">
        <v>1938</v>
      </c>
      <c r="B63" s="60" t="s">
        <v>1860</v>
      </c>
      <c r="C63" s="4" t="s">
        <v>434</v>
      </c>
      <c r="D63" s="27">
        <f t="shared" si="1"/>
        <v>147</v>
      </c>
      <c r="E63" s="31">
        <f>D63/'Top 10 Hard'!$J$2</f>
        <v>3.97661641341662E-3</v>
      </c>
      <c r="F63" s="31">
        <f>IF(NOT(ISNUMBER(F62)),0,F62)+Table1[[#This Row],[Points]]/'Top 10 Hard'!$J$2</f>
        <v>0.59926392018633334</v>
      </c>
      <c r="G63" s="51" t="s">
        <v>555</v>
      </c>
      <c r="H63" s="64" t="str">
        <f>IF(VLOOKUP($G63,List!$A:$O,15,FALSE)=0,"",VLOOKUP($G63,List!$A:$O,15,FALSE))</f>
        <v>Y</v>
      </c>
      <c r="I63" s="42" t="str">
        <f>VLOOKUP($G63,List!$A:$U,2,FALSE)</f>
        <v>As Fezzan, control at least 90% of the trade power in Tunis, Katsina, Safi 
and Timbuktu.</v>
      </c>
      <c r="J63" s="54">
        <f>VLOOKUP($G63,List!$A:$U,3,FALSE)</f>
        <v>6.0000000000000001E-3</v>
      </c>
      <c r="K63" s="6" t="str">
        <f>VLOOKUP($G63,List!$A:$U,4,FALSE)</f>
        <v>H</v>
      </c>
      <c r="L63" s="44">
        <f>VLOOKUP($G63,List!$A:$U,5,FALSE)</f>
        <v>147</v>
      </c>
      <c r="M63" s="42" t="str">
        <f>VLOOKUP($G63,List!$A:$U,17,FALSE)</f>
        <v>Playing as Fezzan</v>
      </c>
      <c r="N63" s="44" t="s">
        <v>1823</v>
      </c>
      <c r="O63" s="43" t="str">
        <f>VLOOKUP($G63,List!$A:$U,18,FALSE)</f>
        <v>Have at least 90% trade power in Katsina, Safi, Timbuktu and Tunis trade 
nodes</v>
      </c>
      <c r="P63" s="43" t="str">
        <f>VLOOKUP($G63,List!$A:$U,19,FALSE)</f>
        <v>Will likely require conquering (or at least occupying) much of Spain to 
prevent upstream trade power transfers to Tunis and Safi from Seville and 
Valencia.</v>
      </c>
    </row>
    <row r="64" spans="1:16" ht="30" customHeight="1" x14ac:dyDescent="0.25">
      <c r="A64" s="45" t="s">
        <v>1939</v>
      </c>
      <c r="B64" s="59" t="s">
        <v>1705</v>
      </c>
      <c r="C64" s="4" t="s">
        <v>573</v>
      </c>
      <c r="D64" s="27">
        <f t="shared" si="1"/>
        <v>293</v>
      </c>
      <c r="E64" s="31">
        <f>D64/'Top 10 Hard'!$J$2</f>
        <v>7.9261810144970728E-3</v>
      </c>
      <c r="F64" s="31">
        <f>IF(NOT(ISNUMBER(F63)),0,F63)+Table1[[#This Row],[Points]]/'Top 10 Hard'!$J$2</f>
        <v>0.60719010120083039</v>
      </c>
      <c r="G64" s="52" t="s">
        <v>591</v>
      </c>
      <c r="H64" s="63" t="str">
        <f>IF(VLOOKUP($G64,List!$A:$O,15,FALSE)=0,"",VLOOKUP($G64,List!$A:$O,15,FALSE))</f>
        <v/>
      </c>
      <c r="I64" s="47" t="str">
        <f>VLOOKUP($G64,List!$A:$U,2,FALSE)</f>
        <v>As Perm, own or have a subject own the Russian, Siberian, Scandinavian, 
Canadian, Hudson Bay and Cascadian Regions.</v>
      </c>
      <c r="J64" s="55">
        <f>VLOOKUP($G64,List!$A:$U,3,FALSE)</f>
        <v>7.0000000000000001E-3</v>
      </c>
      <c r="K64" s="6" t="str">
        <f>VLOOKUP($G64,List!$A:$U,4,FALSE)</f>
        <v>VH</v>
      </c>
      <c r="L64" s="50">
        <f>VLOOKUP($G64,List!$A:$U,5,FALSE)</f>
        <v>293</v>
      </c>
      <c r="M64" s="47" t="str">
        <f>VLOOKUP($G64,List!$A:$U,17,FALSE)</f>
        <v>Playing as Perm</v>
      </c>
      <c r="N64" s="50" t="s">
        <v>1823</v>
      </c>
      <c r="O64" s="49" t="str">
        <f>VLOOKUP($G64,List!$A:$U,18,FALSE)</f>
        <v>- *Not* playing as a released vassal
- Is Perm
- All provinces in the Canada, Cascadia, Hudson Bay, East Siberia, West 
Siberia, Scandinavia, Russia and Ural regions are owned by Perm*or* its 
non-tributary subjects.</v>
      </c>
      <c r="P64" s="49">
        <f>VLOOKUP($G64,List!$A:$U,19,FALSE)</f>
        <v>0</v>
      </c>
    </row>
    <row r="65" spans="1:16" ht="30" customHeight="1" x14ac:dyDescent="0.25">
      <c r="A65" s="39" t="s">
        <v>1940</v>
      </c>
      <c r="B65" s="60" t="s">
        <v>1802</v>
      </c>
      <c r="C65" s="4" t="s">
        <v>434</v>
      </c>
      <c r="D65" s="27">
        <f t="shared" si="1"/>
        <v>144</v>
      </c>
      <c r="E65" s="31">
        <f>D65/'Top 10 Hard'!$J$2</f>
        <v>3.8954609764081179E-3</v>
      </c>
      <c r="F65" s="31">
        <f>IF(NOT(ISNUMBER(F64)),0,F64)+Table1[[#This Row],[Points]]/'Top 10 Hard'!$J$2</f>
        <v>0.61108556217723853</v>
      </c>
      <c r="G65" s="51" t="s">
        <v>454</v>
      </c>
      <c r="H65" s="64" t="str">
        <f>IF(VLOOKUP($G65,List!$A:$O,15,FALSE)=0,"",VLOOKUP($G65,List!$A:$O,15,FALSE))</f>
        <v>Y</v>
      </c>
      <c r="I65" s="42" t="str">
        <f>VLOOKUP($G65,List!$A:$U,2,FALSE)</f>
        <v>As Scotland, have France as a vassal (do not form Great Britain).</v>
      </c>
      <c r="J65" s="54">
        <f>VLOOKUP($G65,List!$A:$U,3,FALSE)</f>
        <v>1.2E-2</v>
      </c>
      <c r="K65" s="6" t="str">
        <f>VLOOKUP($G65,List!$A:$U,4,FALSE)</f>
        <v>H</v>
      </c>
      <c r="L65" s="44">
        <f>VLOOKUP($G65,List!$A:$U,5,FALSE)</f>
        <v>144</v>
      </c>
      <c r="M65" s="42" t="str">
        <f>VLOOKUP($G65,List!$A:$U,17,FALSE)</f>
        <v>Playing as Scotland.</v>
      </c>
      <c r="N65" s="44" t="s">
        <v>1823</v>
      </c>
      <c r="O65" s="43" t="str">
        <f>VLOOKUP($G65,List!$A:$U,18,FALSE)</f>
        <v>- *Not* playing as a released vassal.
- France is a vassal of Scotland.</v>
      </c>
      <c r="P65" s="43">
        <f>VLOOKUP($G65,List!$A:$U,19,FALSE)</f>
        <v>0</v>
      </c>
    </row>
    <row r="66" spans="1:16" ht="30" customHeight="1" x14ac:dyDescent="0.25">
      <c r="A66" s="39" t="s">
        <v>2052</v>
      </c>
      <c r="B66" s="60" t="s">
        <v>1802</v>
      </c>
      <c r="C66" s="4" t="s">
        <v>434</v>
      </c>
      <c r="D66" s="27">
        <f t="shared" ref="D66:D97" si="2">SUMIFS($L:$L,$A:$A,$A66)</f>
        <v>148.5</v>
      </c>
      <c r="E66" s="31">
        <f>D66/'Top 10 Hard'!$J$2</f>
        <v>4.0171941319208718E-3</v>
      </c>
      <c r="F66" s="31">
        <f>IF(NOT(ISNUMBER(F65)),0,F65)+Table1[[#This Row],[Points]]/'Top 10 Hard'!$J$2</f>
        <v>0.61510275630915945</v>
      </c>
      <c r="G66" s="51" t="s">
        <v>522</v>
      </c>
      <c r="H66" s="64" t="str">
        <f>IF(VLOOKUP($G66,List!$A:$O,15,FALSE)=0,"",VLOOKUP($G66,List!$A:$O,15,FALSE))</f>
        <v/>
      </c>
      <c r="I66" s="42" t="str">
        <f>VLOOKUP($G66,List!$A:$U,2,FALSE)</f>
        <v>Ensure that no colonized province in the world produces slaves while 
having the War Against the World Doctrine government reform enacted.</v>
      </c>
      <c r="J66" s="54">
        <f>VLOOKUP($G66,List!$A:$U,3,FALSE)</f>
        <v>3.0000000000000001E-3</v>
      </c>
      <c r="K66" s="6" t="str">
        <f>VLOOKUP($G66,List!$A:$U,4,FALSE)</f>
        <v>H</v>
      </c>
      <c r="L66" s="44">
        <f>VLOOKUP($G66,List!$A:$U,5,FALSE)</f>
        <v>148.5</v>
      </c>
      <c r="M66" s="42">
        <f>VLOOKUP($G66,List!$A:$U,17,FALSE)</f>
        <v>0</v>
      </c>
      <c r="N66" s="44" t="s">
        <v>1823</v>
      </c>
      <c r="O66" s="43" t="str">
        <f>VLOOKUP($G66,List!$A:$U,18,FALSE)</f>
        <v>- Has enacted the Pirate Republic government reform
- Has enacted the War Against the World Doctrine government reform
- No fully colonized province in the world produces slaves</v>
      </c>
      <c r="P66" s="43" t="str">
        <f>VLOOKUP($G66,List!$A:$U,19,FALSE)</f>
        <v>Almost all slave provinces are on the African continent (except Azov). 
Palembang has a quick event which converts them into pirate republic, but 
they are Hindu and have mediocre ideas. An easier way is to start as Pasai 
and hoist the black flag: Pasai has better starting provinces, better 
ideas, and is Muslim, which makes alliance and AE easier. Alternatively, 
Gotland also becomes a pirate nation through event. Azov and the Ivory 
Coast are areas of contention with slaves which need to be rushed to asap. 
Kilwa has the best starting location and missions in Africa. Complete 
Prepare the Invasion mission to secure five provinces in Madagascar. Move 
Kilwa's capital to Zanzibar or Madagascar. Give the remaining provinces to 
Sofala and release the vassal, then Hoist the Black Flag
Can be done easily by releasing and playing as Cornwall after you conquer 
all slave provinces and abolish slavery, e.g. as England/Great Britain, 
because Cornwall's pirate event requires just 3 ships privateering. 
Maghrebi nation such as Tunis can sell non coastal provinces to meet the 
requirements, an alliance with the Ottomans and a proximity to Genoa help 
gaining Azov early in the game.</v>
      </c>
    </row>
    <row r="67" spans="1:16" ht="30" customHeight="1" x14ac:dyDescent="0.25">
      <c r="A67" s="45" t="s">
        <v>1941</v>
      </c>
      <c r="B67" s="59" t="s">
        <v>1704</v>
      </c>
      <c r="C67" s="4" t="s">
        <v>434</v>
      </c>
      <c r="D67" s="27">
        <f t="shared" si="2"/>
        <v>147</v>
      </c>
      <c r="E67" s="31">
        <f>D67/'Top 10 Hard'!$J$2</f>
        <v>3.97661641341662E-3</v>
      </c>
      <c r="F67" s="31">
        <f>IF(NOT(ISNUMBER(F66)),0,F66)+Table1[[#This Row],[Points]]/'Top 10 Hard'!$J$2</f>
        <v>0.61907937272257607</v>
      </c>
      <c r="G67" s="52" t="s">
        <v>491</v>
      </c>
      <c r="H67" s="63" t="str">
        <f>IF(VLOOKUP($G67,List!$A:$O,15,FALSE)=0,"",VLOOKUP($G67,List!$A:$O,15,FALSE))</f>
        <v>Y</v>
      </c>
      <c r="I67" s="47" t="str">
        <f>VLOOKUP($G67,List!$A:$U,2,FALSE)</f>
        <v>Starting as Odoyev, own one of every manufactory.</v>
      </c>
      <c r="J67" s="55">
        <f>VLOOKUP($G67,List!$A:$U,3,FALSE)</f>
        <v>6.0000000000000001E-3</v>
      </c>
      <c r="K67" s="6" t="str">
        <f>VLOOKUP($G67,List!$A:$U,4,FALSE)</f>
        <v>H</v>
      </c>
      <c r="L67" s="50">
        <f>VLOOKUP($G67,List!$A:$U,5,FALSE)</f>
        <v>147</v>
      </c>
      <c r="M67" s="47" t="str">
        <f>VLOOKUP($G67,List!$A:$U,17,FALSE)</f>
        <v>Playing as Odoyev</v>
      </c>
      <c r="N67" s="50" t="s">
        <v>1823</v>
      </c>
      <c r="O67" s="49" t="str">
        <f>VLOOKUP($G67,List!$A:$U,18,FALSE)</f>
        <v>Own at least one manufactory of each type</v>
      </c>
      <c r="P67" s="49" t="str">
        <f>VLOOKUP($G67,List!$A:$U,19,FALSE)</f>
        <v>- The new manufactories (Ramparts, Soldier's Households, Impressment 
Offices, State House) are also necessary
- With the Rule Britannia DLC a furnace is also necessary.
- Building the manufactories isn't very hard. The hard part is surviving 
long enough to get to the required technology (admin tech 16 without Rule 
Britannia and till the Enlightenment with the DLC) as well as getting 
provinces with the correct trade goods.</v>
      </c>
    </row>
    <row r="68" spans="1:16" ht="30" customHeight="1" x14ac:dyDescent="0.25">
      <c r="A68" s="39" t="s">
        <v>1942</v>
      </c>
      <c r="B68" s="60" t="s">
        <v>2051</v>
      </c>
      <c r="C68" s="4" t="s">
        <v>434</v>
      </c>
      <c r="D68" s="27">
        <f t="shared" si="2"/>
        <v>66.5</v>
      </c>
      <c r="E68" s="31">
        <f>D68/'Top 10 Hard'!$J$2</f>
        <v>1.7989455203551376E-3</v>
      </c>
      <c r="F68" s="31">
        <f>IF(NOT(ISNUMBER(F67)),0,F67)+Table1[[#This Row],[Points]]/'Top 10 Hard'!$J$2</f>
        <v>0.62087831824293116</v>
      </c>
      <c r="G68" s="51" t="s">
        <v>256</v>
      </c>
      <c r="H68" s="64" t="str">
        <f>IF(VLOOKUP($G68,List!$A:$O,15,FALSE)=0,"",VLOOKUP($G68,List!$A:$O,15,FALSE))</f>
        <v/>
      </c>
      <c r="I68" s="42" t="str">
        <f>VLOOKUP($G68,List!$A:$U,2,FALSE)</f>
        <v>Form the nation of Malaya.</v>
      </c>
      <c r="J68" s="54">
        <f>VLOOKUP($G68,List!$A:$U,3,FALSE)</f>
        <v>3.4000000000000002E-2</v>
      </c>
      <c r="K68" s="6" t="str">
        <f>VLOOKUP($G68,List!$A:$U,4,FALSE)</f>
        <v>M</v>
      </c>
      <c r="L68" s="44">
        <f>VLOOKUP($G68,List!$A:$U,5,FALSE)</f>
        <v>66.5</v>
      </c>
      <c r="M68" s="42">
        <f>VLOOKUP($G68,List!$A:$U,17,FALSE)</f>
        <v>0</v>
      </c>
      <c r="N68" s="44" t="s">
        <v>1823</v>
      </c>
      <c r="O68" s="43" t="str">
        <f>VLOOKUP($G68,List!$A:$U,18,FALSE)</f>
        <v>- *Not* playing as a released vassal
- Is Malaya</v>
      </c>
      <c r="P68" s="43" t="str">
        <f>VLOOKUP($G68,List!$A:$U,19,FALSE)</f>
        <v>Easiest as Malacca or Pasai.</v>
      </c>
    </row>
    <row r="69" spans="1:16" ht="30" customHeight="1" x14ac:dyDescent="0.25">
      <c r="A69" s="45" t="s">
        <v>1943</v>
      </c>
      <c r="B69" s="59" t="s">
        <v>1703</v>
      </c>
      <c r="C69" s="4" t="s">
        <v>434</v>
      </c>
      <c r="D69" s="27">
        <f t="shared" si="2"/>
        <v>147</v>
      </c>
      <c r="E69" s="31">
        <f>D69/'Top 10 Hard'!$J$2</f>
        <v>3.97661641341662E-3</v>
      </c>
      <c r="F69" s="31">
        <f>IF(NOT(ISNUMBER(F68)),0,F68)+Table1[[#This Row],[Points]]/'Top 10 Hard'!$J$2</f>
        <v>0.62485493465634778</v>
      </c>
      <c r="G69" s="52" t="s">
        <v>463</v>
      </c>
      <c r="H69" s="63" t="str">
        <f>IF(VLOOKUP($G69,List!$A:$O,15,FALSE)=0,"",VLOOKUP($G69,List!$A:$O,15,FALSE))</f>
        <v/>
      </c>
      <c r="I69" s="47" t="str">
        <f>VLOOKUP($G69,List!$A:$U,2,FALSE)</f>
        <v>Starting as Pskov, have 100 standing Streltsy units.</v>
      </c>
      <c r="J69" s="55">
        <f>VLOOKUP($G69,List!$A:$U,3,FALSE)</f>
        <v>6.0000000000000001E-3</v>
      </c>
      <c r="K69" s="6" t="str">
        <f>VLOOKUP($G69,List!$A:$U,4,FALSE)</f>
        <v>H</v>
      </c>
      <c r="L69" s="50">
        <f>VLOOKUP($G69,List!$A:$U,5,FALSE)</f>
        <v>147</v>
      </c>
      <c r="M69" s="47" t="str">
        <f>VLOOKUP($G69,List!$A:$U,17,FALSE)</f>
        <v>Playing as Pskov</v>
      </c>
      <c r="N69" s="50" t="s">
        <v>1823</v>
      </c>
      <c r="O69" s="49" t="str">
        <f>VLOOKUP($G69,List!$A:$U,18,FALSE)</f>
        <v>Has at least 100 Streltsy units</v>
      </c>
      <c r="P69" s="49">
        <f>VLOOKUP($G69,List!$A:$U,19,FALSE)</f>
        <v>0</v>
      </c>
    </row>
    <row r="70" spans="1:16" ht="30" customHeight="1" x14ac:dyDescent="0.25">
      <c r="A70" s="39" t="s">
        <v>1944</v>
      </c>
      <c r="B70" s="60" t="s">
        <v>1675</v>
      </c>
      <c r="C70" s="4" t="s">
        <v>434</v>
      </c>
      <c r="D70" s="27">
        <f t="shared" si="2"/>
        <v>148.5</v>
      </c>
      <c r="E70" s="31">
        <f>D70/'Top 10 Hard'!$J$2</f>
        <v>4.0171941319208718E-3</v>
      </c>
      <c r="F70" s="31">
        <f>IF(NOT(ISNUMBER(F69)),0,F69)+Table1[[#This Row],[Points]]/'Top 10 Hard'!$J$2</f>
        <v>0.6288721287882687</v>
      </c>
      <c r="G70" s="51" t="s">
        <v>566</v>
      </c>
      <c r="H70" s="64" t="str">
        <f>IF(VLOOKUP($G70,List!$A:$O,15,FALSE)=0,"",VLOOKUP($G70,List!$A:$O,15,FALSE))</f>
        <v/>
      </c>
      <c r="I70" s="42" t="str">
        <f>VLOOKUP($G70,List!$A:$U,2,FALSE)</f>
        <v>Starting as Austria, convert to Zoroastrianism, and complete the Persian 
Zoroastrian missions.</v>
      </c>
      <c r="J70" s="54">
        <f>VLOOKUP($G70,List!$A:$U,3,FALSE)</f>
        <v>3.0000000000000001E-3</v>
      </c>
      <c r="K70" s="4" t="str">
        <f>VLOOKUP($G70,List!$A:$U,4,FALSE)</f>
        <v>H</v>
      </c>
      <c r="L70" s="44">
        <f>VLOOKUP($G70,List!$A:$U,5,FALSE)</f>
        <v>148.5</v>
      </c>
      <c r="M70" s="42" t="str">
        <f>VLOOKUP($G70,List!$A:$U,17,FALSE)</f>
        <v>Is Austria</v>
      </c>
      <c r="N70" s="44" t="s">
        <v>1823</v>
      </c>
      <c r="O70" s="43" t="str">
        <f>VLOOKUP($G70,List!$A:$U,18,FALSE)</f>
        <v>- Is Persia*or*Eranshahr
- Has completed the mission A New Eranshahr mission
- Has completed the An Asha Empire mission</v>
      </c>
      <c r="P70" s="38">
        <f>VLOOKUP($G70,List!$A:$U,19,FALSE)</f>
        <v>0</v>
      </c>
    </row>
    <row r="71" spans="1:16" ht="30" customHeight="1" x14ac:dyDescent="0.25">
      <c r="A71" s="45" t="s">
        <v>1945</v>
      </c>
      <c r="B71" s="59" t="s">
        <v>1684</v>
      </c>
      <c r="C71" s="4" t="s">
        <v>434</v>
      </c>
      <c r="D71" s="27">
        <f t="shared" si="2"/>
        <v>73.25</v>
      </c>
      <c r="E71" s="31">
        <f>D71/'Top 10 Hard'!$J$2</f>
        <v>1.9815452536242682E-3</v>
      </c>
      <c r="F71" s="31">
        <f>IF(NOT(ISNUMBER(F70)),0,F70)+Table1[[#This Row],[Points]]/'Top 10 Hard'!$J$2</f>
        <v>0.63085367404189296</v>
      </c>
      <c r="G71" s="52" t="s">
        <v>386</v>
      </c>
      <c r="H71" s="63" t="str">
        <f>IF(VLOOKUP($G71,List!$A:$O,15,FALSE)=0,"",VLOOKUP($G71,List!$A:$O,15,FALSE))</f>
        <v>Y</v>
      </c>
      <c r="I71" s="47" t="str">
        <f>VLOOKUP($G71,List!$A:$U,2,FALSE)</f>
        <v>Starting as England, form the Angevin Kingdom and enact all the 'Acts of 
Crown' parliamentary issues.</v>
      </c>
      <c r="J71" s="55">
        <f>VLOOKUP($G71,List!$A:$U,3,FALSE)</f>
        <v>7.0000000000000001E-3</v>
      </c>
      <c r="K71" s="4" t="str">
        <f>VLOOKUP($G71,List!$A:$U,4,FALSE)</f>
        <v>M</v>
      </c>
      <c r="L71" s="50">
        <f>VLOOKUP($G71,List!$A:$U,5,FALSE)</f>
        <v>73.25</v>
      </c>
      <c r="M71" s="47">
        <f>VLOOKUP($G71,List!$A:$U,17,FALSE)</f>
        <v>0</v>
      </c>
      <c r="N71" s="50" t="s">
        <v>1823</v>
      </c>
      <c r="O71" s="49" t="str">
        <f>VLOOKUP($G71,List!$A:$U,18,FALSE)</f>
        <v>- Is Angevin Kingdom
- Has enacted all of the following parliament issues: 
- Crown of Ireland Act
- Act of the Spanish Crown
- Act of the Italian Crown
- Crown of the Empire</v>
      </c>
      <c r="P71" s="38" t="str">
        <f>VLOOKUP($G71,List!$A:$U,19,FALSE)</f>
        <v>Do *not* dismantle the HRE, because that prevents the issue *“Crown of the 
Empire”*. It's recommended to stay Catholic as becoming HRE emperor as 
Anglican requires either religious peace or Protestant victory with around 
a quarter of HRE provinces under Anglican control.</v>
      </c>
    </row>
    <row r="72" spans="1:16" ht="30" customHeight="1" x14ac:dyDescent="0.25">
      <c r="A72" s="39" t="s">
        <v>1946</v>
      </c>
      <c r="B72" s="60" t="s">
        <v>1765</v>
      </c>
      <c r="C72" s="4" t="s">
        <v>105</v>
      </c>
      <c r="D72" s="27">
        <f t="shared" si="2"/>
        <v>29.5</v>
      </c>
      <c r="E72" s="31">
        <f>D72/'Top 10 Hard'!$J$2</f>
        <v>7.9802846391694078E-4</v>
      </c>
      <c r="F72" s="31">
        <f>IF(NOT(ISNUMBER(F71)),0,F71)+Table1[[#This Row],[Points]]/'Top 10 Hard'!$J$2</f>
        <v>0.63165170250580993</v>
      </c>
      <c r="G72" s="51" t="s">
        <v>188</v>
      </c>
      <c r="H72" s="64" t="str">
        <f>IF(VLOOKUP($G72,List!$A:$O,15,FALSE)=0,"",VLOOKUP($G72,List!$A:$O,15,FALSE))</f>
        <v/>
      </c>
      <c r="I72" s="42" t="str">
        <f>VLOOKUP($G72,List!$A:$U,2,FALSE)</f>
        <v>Form the USA as Hawaii.</v>
      </c>
      <c r="J72" s="54">
        <f>VLOOKUP($G72,List!$A:$U,3,FALSE)</f>
        <v>5.0000000000000001E-3</v>
      </c>
      <c r="K72" s="4" t="str">
        <f>VLOOKUP($G72,List!$A:$U,4,FALSE)</f>
        <v>E</v>
      </c>
      <c r="L72" s="44">
        <f>VLOOKUP($G72,List!$A:$U,5,FALSE)</f>
        <v>29.5</v>
      </c>
      <c r="M72" s="42" t="str">
        <f>VLOOKUP($G72,List!$A:$U,17,FALSE)</f>
        <v>- *Not* using a random New World
- Playing as Hawai'i, Maui, O'ahu*or*Kaua'i</v>
      </c>
      <c r="N72" s="44" t="s">
        <v>1823</v>
      </c>
      <c r="O72" s="43" t="str">
        <f>VLOOKUP($G72,List!$A:$U,18,FALSE)</f>
        <v>Is USA</v>
      </c>
      <c r="P72" s="38" t="str">
        <f>VLOOKUP($G72,List!$A:$U,19,FALSE)</f>
        <v>It is advised to not colonise the nearby islands in your region. To form USA 
you need to move your capital to the Colonial Eastern America region, and 
to be able to do that you will need to move your capital. This can be done 
if it's the only province in a state, i,e, Hawaii. Consider releasing 
vassals in your home islands to achieve this.</v>
      </c>
    </row>
    <row r="73" spans="1:16" ht="30" customHeight="1" x14ac:dyDescent="0.25">
      <c r="A73" s="45" t="s">
        <v>1947</v>
      </c>
      <c r="B73" s="59" t="s">
        <v>1793</v>
      </c>
      <c r="C73" s="4" t="s">
        <v>105</v>
      </c>
      <c r="D73" s="27">
        <f t="shared" si="2"/>
        <v>66.900000000000006</v>
      </c>
      <c r="E73" s="31">
        <f>D73/'Top 10 Hard'!$J$2</f>
        <v>1.8097662452896048E-3</v>
      </c>
      <c r="F73" s="31">
        <f>IF(NOT(ISNUMBER(F72)),0,F72)+Table1[[#This Row],[Points]]/'Top 10 Hard'!$J$2</f>
        <v>0.63202231233481543</v>
      </c>
      <c r="G73" s="52" t="s">
        <v>97</v>
      </c>
      <c r="H73" s="63" t="str">
        <f>IF(VLOOKUP($G73,List!$A:$O,15,FALSE)=0,"",VLOOKUP($G73,List!$A:$O,15,FALSE))</f>
        <v/>
      </c>
      <c r="I73" s="47" t="str">
        <f>VLOOKUP($G73,List!$A:$U,2,FALSE)</f>
        <v>As Poland, reach the maximum level in all technologies (32).</v>
      </c>
      <c r="J73" s="55">
        <f>VLOOKUP($G73,List!$A:$U,3,FALSE)</f>
        <v>2.5999999999999999E-2</v>
      </c>
      <c r="K73" s="6" t="str">
        <f>VLOOKUP($G73,List!$A:$U,4,FALSE)</f>
        <v>VE</v>
      </c>
      <c r="L73" s="50">
        <f>VLOOKUP($G73,List!$A:$U,5,FALSE)</f>
        <v>13.7</v>
      </c>
      <c r="M73" s="47" t="str">
        <f>VLOOKUP($G73,List!$A:$U,17,FALSE)</f>
        <v>Playing as Poland</v>
      </c>
      <c r="N73" s="50" t="s">
        <v>1823</v>
      </c>
      <c r="O73" s="49" t="str">
        <f>VLOOKUP($G73,List!$A:$U,18,FALSE)</f>
        <v>- Administrative technology is *32*
- Diplomatic technology is *32*
- Military technology is *32*</v>
      </c>
      <c r="P73" s="49">
        <f>VLOOKUP($G73,List!$A:$U,19,FALSE)</f>
        <v>0</v>
      </c>
    </row>
    <row r="74" spans="1:16" ht="30" customHeight="1" x14ac:dyDescent="0.25">
      <c r="A74" s="45" t="s">
        <v>1947</v>
      </c>
      <c r="B74" s="59" t="s">
        <v>1793</v>
      </c>
      <c r="C74" s="4" t="s">
        <v>105</v>
      </c>
      <c r="D74" s="27">
        <f t="shared" si="2"/>
        <v>66.900000000000006</v>
      </c>
      <c r="E74" s="31">
        <f>D74/'Top 10 Hard'!$J$2</f>
        <v>1.8097662452896048E-3</v>
      </c>
      <c r="F74" s="31">
        <f>IF(NOT(ISNUMBER(F73)),0,F73)+Table1[[#This Row],[Points]]/'Top 10 Hard'!$J$2</f>
        <v>0.63274189054295749</v>
      </c>
      <c r="G74" s="52" t="s">
        <v>173</v>
      </c>
      <c r="H74" s="63" t="str">
        <f>IF(VLOOKUP($G74,List!$A:$O,15,FALSE)=0,"",VLOOKUP($G74,List!$A:$O,15,FALSE))</f>
        <v/>
      </c>
      <c r="I74" s="47" t="str">
        <f>VLOOKUP($G74,List!$A:$U,2,FALSE)</f>
        <v>As Poland, become an absolutist monarchy, abolishing the Sejm.</v>
      </c>
      <c r="J74" s="55">
        <f>VLOOKUP($G74,List!$A:$U,3,FALSE)</f>
        <v>3.4000000000000002E-2</v>
      </c>
      <c r="K74" s="6" t="str">
        <f>VLOOKUP($G74,List!$A:$U,4,FALSE)</f>
        <v>E</v>
      </c>
      <c r="L74" s="50">
        <f>VLOOKUP($G74,List!$A:$U,5,FALSE)</f>
        <v>26.6</v>
      </c>
      <c r="M74" s="47" t="str">
        <f>VLOOKUP($G74,List!$A:$U,17,FALSE)</f>
        <v>Playing as Poland</v>
      </c>
      <c r="N74" s="50" t="s">
        <v>1823</v>
      </c>
      <c r="O74" s="49" t="str">
        <f>VLOOKUP($G74,List!$A:$U,18,FALSE)</f>
        <v>- *Not* playing as a released vassal
- Is a monarchy
- Have 50 absolutism
- Has *not* enacted one of the following government reforms: 
- ‘Elective Monarchy’
- ‘Great Sejm’
- ‘Polish Elective Monarchy’</v>
      </c>
      <c r="P74" s="49">
        <f>VLOOKUP($G74,List!$A:$U,19,FALSE)</f>
        <v>0</v>
      </c>
    </row>
    <row r="75" spans="1:16" ht="30" customHeight="1" x14ac:dyDescent="0.25">
      <c r="A75" s="45" t="s">
        <v>1947</v>
      </c>
      <c r="B75" s="59" t="s">
        <v>1793</v>
      </c>
      <c r="C75" s="4" t="s">
        <v>105</v>
      </c>
      <c r="D75" s="27">
        <f t="shared" si="2"/>
        <v>66.900000000000006</v>
      </c>
      <c r="E75" s="31">
        <f>D75/'Top 10 Hard'!$J$2</f>
        <v>1.8097662452896048E-3</v>
      </c>
      <c r="F75" s="31">
        <f>IF(NOT(ISNUMBER(F74)),0,F74)+Table1[[#This Row],[Points]]/'Top 10 Hard'!$J$2</f>
        <v>0.63346146875109954</v>
      </c>
      <c r="G75" s="52" t="s">
        <v>209</v>
      </c>
      <c r="H75" s="63" t="str">
        <f>IF(VLOOKUP($G75,List!$A:$O,15,FALSE)=0,"",VLOOKUP($G75,List!$A:$O,15,FALSE))</f>
        <v/>
      </c>
      <c r="I75" s="47" t="str">
        <f>VLOOKUP($G75,List!$A:$U,2,FALSE)</f>
        <v>Have Winged Hussars as your active unit with more than +50% cavalry combat 
ability.</v>
      </c>
      <c r="J75" s="55">
        <f>VLOOKUP($G75,List!$A:$U,3,FALSE)</f>
        <v>3.4000000000000002E-2</v>
      </c>
      <c r="K75" s="6" t="str">
        <f>VLOOKUP($G75,List!$A:$U,4,FALSE)</f>
        <v>E</v>
      </c>
      <c r="L75" s="50">
        <f>VLOOKUP($G75,List!$A:$U,5,FALSE)</f>
        <v>26.6</v>
      </c>
      <c r="M75" s="47">
        <f>VLOOKUP($G75,List!$A:$U,17,FALSE)</f>
        <v>0</v>
      </c>
      <c r="N75" s="50" t="s">
        <v>1823</v>
      </c>
      <c r="O75" s="49" t="str">
        <f>VLOOKUP($G75,List!$A:$U,18,FALSE)</f>
        <v>- Have Winged Hussars as your primary cavalry unit
- Have a cavalry combat ability of at least 50%</v>
      </c>
      <c r="P75" s="49" t="str">
        <f>VLOOKUP($G75,List!$A:$U,19,FALSE)</f>
        <v>- Winged Hussars cavalry unit is part of the Eastern technology group 
(military tech level 22). For details on cavalry combat ability see the 
article on Land units.
- Poland is the easiest nation to play for this achievement due to the 
cavalry combat ability in their national ideas. Taking Aristocratic and 
Quality ideas will give Poland enough combat ability to satisfy this 
achievement.</v>
      </c>
    </row>
    <row r="76" spans="1:16" ht="30" customHeight="1" x14ac:dyDescent="0.25">
      <c r="A76" s="39" t="s">
        <v>1948</v>
      </c>
      <c r="B76" s="60" t="s">
        <v>1870</v>
      </c>
      <c r="C76" s="4" t="s">
        <v>434</v>
      </c>
      <c r="D76" s="27">
        <f t="shared" si="2"/>
        <v>147</v>
      </c>
      <c r="E76" s="31">
        <f>D76/'Top 10 Hard'!$J$2</f>
        <v>3.97661641341662E-3</v>
      </c>
      <c r="F76" s="31">
        <f>IF(NOT(ISNUMBER(F75)),0,F75)+Table1[[#This Row],[Points]]/'Top 10 Hard'!$J$2</f>
        <v>0.63743808516451617</v>
      </c>
      <c r="G76" s="51" t="s">
        <v>511</v>
      </c>
      <c r="H76" s="64" t="str">
        <f>IF(VLOOKUP($G76,List!$A:$O,15,FALSE)=0,"",VLOOKUP($G76,List!$A:$O,15,FALSE))</f>
        <v/>
      </c>
      <c r="I76" s="42" t="str">
        <f>VLOOKUP($G76,List!$A:$U,2,FALSE)</f>
        <v>Form Bavaria starting as München and have your Subject Bremen own Werder.</v>
      </c>
      <c r="J76" s="54">
        <f>VLOOKUP($G76,List!$A:$U,3,FALSE)</f>
        <v>6.0000000000000001E-3</v>
      </c>
      <c r="K76" s="4" t="str">
        <f>VLOOKUP($G76,List!$A:$U,4,FALSE)</f>
        <v>H</v>
      </c>
      <c r="L76" s="44">
        <f>VLOOKUP($G76,List!$A:$U,5,FALSE)</f>
        <v>147</v>
      </c>
      <c r="M76" s="42" t="str">
        <f>VLOOKUP($G76,List!$A:$U,17,FALSE)</f>
        <v>- Playing as Munich
- *Not* using a random New World</v>
      </c>
      <c r="N76" s="44" t="s">
        <v>1823</v>
      </c>
      <c r="O76" s="43" t="str">
        <f>VLOOKUP($G76,List!$A:$U,18,FALSE)</f>
        <v>- Is Bavaria
- Bremen is a subject of Bavaria
- Bremen owns Werder (2778)</v>
      </c>
      <c r="P76" s="38" t="str">
        <f>VLOOKUP($G76,List!$A:$U,19,FALSE)</f>
        <v>Werder (2778) is in the Horn of Africa region and owned by Marehan at the 
start of the game. As Munich, take your time consolidating into Bavaria. If 
you can, befriend the emperor and/or electors to make your life within the 
HRE easier. Once you have a border with Bremen, or coastal provinces in 
coring range of Bremen, look for war opportunities which Bremen will be 
called ito as an ally. As they are a free city, it will be much harder if 
you declare directly on them (as the Emperor will defend free cities). 
Annex Bremen in a separate peace and release them as your vassal (you can't 
vassalize a free city in a peace deal). Afterwards, expand in power so that 
you can combat your most powerful neighbours - Ottomans, Spain, France, 
etc. Make sure to give Bremen land, either in the direction of the Ottomans 
or in the direction of Spain. You will have to fight your way through at 
least one, feeding Bremen provinces to "snake" their land down to Werder 
(this is because vassals need adjacent land or sea tiles to be given 
provinces and do not care about coring distance/colonial range). The least 
time-consuming method would be to give them a province per sea tile 
starting from the Mediterranean, down through the Mamluks to the Red Sea 
coast, and finally down to Werder.</v>
      </c>
    </row>
    <row r="77" spans="1:16" ht="30" customHeight="1" x14ac:dyDescent="0.25">
      <c r="A77" s="45" t="s">
        <v>1949</v>
      </c>
      <c r="B77" s="59" t="s">
        <v>1871</v>
      </c>
      <c r="C77" s="4" t="s">
        <v>434</v>
      </c>
      <c r="D77" s="27">
        <f t="shared" si="2"/>
        <v>71.25</v>
      </c>
      <c r="E77" s="31">
        <f>D77/'Top 10 Hard'!$J$2</f>
        <v>1.9274416289519333E-3</v>
      </c>
      <c r="F77" s="31">
        <f>IF(NOT(ISNUMBER(F76)),0,F76)+Table1[[#This Row],[Points]]/'Top 10 Hard'!$J$2</f>
        <v>0.63936552679346814</v>
      </c>
      <c r="G77" s="52" t="s">
        <v>368</v>
      </c>
      <c r="H77" s="63" t="str">
        <f>IF(VLOOKUP($G77,List!$A:$O,15,FALSE)=0,"",VLOOKUP($G77,List!$A:$O,15,FALSE))</f>
        <v/>
      </c>
      <c r="I77" s="47" t="str">
        <f>VLOOKUP($G77,List!$A:$U,2,FALSE)</f>
        <v>As Lithuania, become The Commonwealth.</v>
      </c>
      <c r="J77" s="55">
        <f>VLOOKUP($G77,List!$A:$U,3,FALSE)</f>
        <v>1.4999999999999999E-2</v>
      </c>
      <c r="K77" s="4" t="str">
        <f>VLOOKUP($G77,List!$A:$U,4,FALSE)</f>
        <v>M</v>
      </c>
      <c r="L77" s="50">
        <f>VLOOKUP($G77,List!$A:$U,5,FALSE)</f>
        <v>71.25</v>
      </c>
      <c r="M77" s="47" t="str">
        <f>VLOOKUP($G77,List!$A:$U,17,FALSE)</f>
        <v>Playing as Lithuania</v>
      </c>
      <c r="N77" s="50" t="s">
        <v>1823</v>
      </c>
      <c r="O77" s="49" t="str">
        <f>VLOOKUP($G77,List!$A:$U,18,FALSE)</f>
        <v>- *Not* playing as a released vassal
- Is Commonwealth</v>
      </c>
      <c r="P77" s="48" t="str">
        <f>VLOOKUP($G77,List!$A:$U,19,FALSE)</f>
        <v>Lithuanias missions will give a restoration of Union casus belli against 
Poland, if Lithuania are independent after 1450, rival Poland and have 
annexed all of Livonian Order and Riga</v>
      </c>
    </row>
    <row r="78" spans="1:16" ht="30" customHeight="1" x14ac:dyDescent="0.25">
      <c r="A78" s="39" t="s">
        <v>1950</v>
      </c>
      <c r="B78" s="60" t="s">
        <v>1873</v>
      </c>
      <c r="C78" s="4" t="s">
        <v>434</v>
      </c>
      <c r="D78" s="27">
        <f t="shared" si="2"/>
        <v>148</v>
      </c>
      <c r="E78" s="31">
        <f>D78/'Top 10 Hard'!$J$2</f>
        <v>4.0036682257527873E-3</v>
      </c>
      <c r="F78" s="31">
        <f>IF(NOT(ISNUMBER(F77)),0,F77)+Table1[[#This Row],[Points]]/'Top 10 Hard'!$J$2</f>
        <v>0.64336919501922096</v>
      </c>
      <c r="G78" s="51" t="s">
        <v>451</v>
      </c>
      <c r="H78" s="64" t="str">
        <f>IF(VLOOKUP($G78,List!$A:$O,15,FALSE)=0,"",VLOOKUP($G78,List!$A:$O,15,FALSE))</f>
        <v/>
      </c>
      <c r="I78" s="42" t="str">
        <f>VLOOKUP($G78,List!$A:$U,2,FALSE)</f>
        <v>Starting as the Livonian Order, form Livonia and own the territory of the 
North German Confederation as core provinces.</v>
      </c>
      <c r="J78" s="54">
        <f>VLOOKUP($G78,List!$A:$U,3,FALSE)</f>
        <v>4.0000000000000001E-3</v>
      </c>
      <c r="K78" s="4" t="str">
        <f>VLOOKUP($G78,List!$A:$U,4,FALSE)</f>
        <v>H</v>
      </c>
      <c r="L78" s="44">
        <f>VLOOKUP($G78,List!$A:$U,5,FALSE)</f>
        <v>148</v>
      </c>
      <c r="M78" s="42" t="str">
        <f>VLOOKUP($G78,List!$A:$U,17,FALSE)</f>
        <v>Playing as Livonian Order</v>
      </c>
      <c r="N78" s="44" t="s">
        <v>1823</v>
      </c>
      <c r="O78" s="43" t="str">
        <f>VLOOKUP($G78,List!$A:$U,18,FALSE)</f>
        <v>- Is Livonia
Own and core all the following provinces: 
- East Prussia area
- West Prussia area
- Silesia area
- North Germany region except the areas Bohemia, Moravia and Erzgebirge
- Chelmno (1859)
- Inowroclaw (4523)
- Gniezno (4526)
- Poznan (254)
- Notec (2963)
- East Frisia (1931)
Map of the provinces:</v>
      </c>
      <c r="P78" s="48">
        <f>VLOOKUP($G78,List!$A:$U,19,FALSE)</f>
        <v>0</v>
      </c>
    </row>
    <row r="79" spans="1:16" ht="30" customHeight="1" x14ac:dyDescent="0.25">
      <c r="A79" s="45" t="s">
        <v>1951</v>
      </c>
      <c r="B79" s="59" t="s">
        <v>1874</v>
      </c>
      <c r="C79" s="4" t="s">
        <v>434</v>
      </c>
      <c r="D79" s="27">
        <f t="shared" si="2"/>
        <v>146</v>
      </c>
      <c r="E79" s="31">
        <f>D79/'Top 10 Hard'!$J$2</f>
        <v>3.9495646010804528E-3</v>
      </c>
      <c r="F79" s="31">
        <f>IF(NOT(ISNUMBER(F78)),0,F78)+Table1[[#This Row],[Points]]/'Top 10 Hard'!$J$2</f>
        <v>0.64731875962030139</v>
      </c>
      <c r="G79" s="52" t="s">
        <v>509</v>
      </c>
      <c r="H79" s="63" t="str">
        <f>IF(VLOOKUP($G79,List!$A:$O,15,FALSE)=0,"",VLOOKUP($G79,List!$A:$O,15,FALSE))</f>
        <v>Y</v>
      </c>
      <c r="I79" s="47" t="str">
        <f>VLOOKUP($G79,List!$A:$U,2,FALSE)</f>
        <v>Starting as Bologna, become Mexico or Texas.</v>
      </c>
      <c r="J79" s="55">
        <f>VLOOKUP($G79,List!$A:$U,3,FALSE)</f>
        <v>8.0000000000000002E-3</v>
      </c>
      <c r="K79" s="4" t="str">
        <f>VLOOKUP($G79,List!$A:$U,4,FALSE)</f>
        <v>H</v>
      </c>
      <c r="L79" s="50">
        <f>VLOOKUP($G79,List!$A:$U,5,FALSE)</f>
        <v>146</v>
      </c>
      <c r="M79" s="47" t="str">
        <f>VLOOKUP($G79,List!$A:$U,17,FALSE)</f>
        <v>- Playing as Bologna
- *Not* using a random New World</v>
      </c>
      <c r="N79" s="50" t="s">
        <v>1823</v>
      </c>
      <c r="O79" s="49" t="str">
        <f>VLOOKUP($G79,List!$A:$U,18,FALSE)</f>
        <v>Is Mexico*or*Texas*or*Sonora</v>
      </c>
      <c r="P79" s="38" t="str">
        <f>VLOOKUP($G79,List!$A:$U,19,FALSE)</f>
        <v>Easiest to do by forming a colonial nation in the Mexico colonial region 
(to form Mexico) or the Rio Grande region (to form Texas) and then release 
and play as them which requires Conquest of Paradise. But it is also 
possible to form Mexico or Texas by moving your capital to the previously 
mentioned (colonial) region before a colonial nation forms. Then no DLC is 
necessary.</v>
      </c>
    </row>
    <row r="80" spans="1:16" ht="30" customHeight="1" x14ac:dyDescent="0.25">
      <c r="A80" s="39" t="s">
        <v>1952</v>
      </c>
      <c r="B80" s="60" t="s">
        <v>1884</v>
      </c>
      <c r="C80" s="4" t="s">
        <v>105</v>
      </c>
      <c r="D80" s="27">
        <f t="shared" si="2"/>
        <v>29.5</v>
      </c>
      <c r="E80" s="31">
        <f>D80/'Top 10 Hard'!$J$2</f>
        <v>7.9802846391694078E-4</v>
      </c>
      <c r="F80" s="31">
        <f>IF(NOT(ISNUMBER(F79)),0,F79)+Table1[[#This Row],[Points]]/'Top 10 Hard'!$J$2</f>
        <v>0.64811678808421835</v>
      </c>
      <c r="G80" s="51" t="s">
        <v>200</v>
      </c>
      <c r="H80" s="64" t="str">
        <f>IF(VLOOKUP($G80,List!$A:$O,15,FALSE)=0,"",VLOOKUP($G80,List!$A:$O,15,FALSE))</f>
        <v/>
      </c>
      <c r="I80" s="42" t="str">
        <f>VLOOKUP($G80,List!$A:$U,2,FALSE)</f>
        <v>As Bone, use pillage capital at least 7 times.</v>
      </c>
      <c r="J80" s="54">
        <f>VLOOKUP($G80,List!$A:$U,3,FALSE)</f>
        <v>5.0000000000000001E-3</v>
      </c>
      <c r="K80" s="4" t="str">
        <f>VLOOKUP($G80,List!$A:$U,4,FALSE)</f>
        <v>E</v>
      </c>
      <c r="L80" s="44">
        <f>VLOOKUP($G80,List!$A:$U,5,FALSE)</f>
        <v>29.5</v>
      </c>
      <c r="M80" s="42" t="str">
        <f>VLOOKUP($G80,List!$A:$U,17,FALSE)</f>
        <v>- Playing as Bone
- *Not* using a random New World</v>
      </c>
      <c r="N80" s="44" t="s">
        <v>1823</v>
      </c>
      <c r="O80" s="43" t="str">
        <f>VLOOKUP($G80,List!$A:$U,18,FALSE)</f>
        <v>- Is Bone
- Has used the pillage capital peace term at least 7 times</v>
      </c>
      <c r="P80" s="38">
        <f>VLOOKUP($G80,List!$A:$U,19,FALSE)</f>
        <v>0</v>
      </c>
    </row>
    <row r="81" spans="1:16" ht="30" customHeight="1" x14ac:dyDescent="0.25">
      <c r="A81" s="45" t="s">
        <v>1953</v>
      </c>
      <c r="B81" s="59" t="s">
        <v>1886</v>
      </c>
      <c r="C81" s="4" t="s">
        <v>434</v>
      </c>
      <c r="D81" s="27">
        <f t="shared" si="2"/>
        <v>147</v>
      </c>
      <c r="E81" s="31">
        <f>D81/'Top 10 Hard'!$J$2</f>
        <v>3.97661641341662E-3</v>
      </c>
      <c r="F81" s="31">
        <f>IF(NOT(ISNUMBER(F80)),0,F80)+Table1[[#This Row],[Points]]/'Top 10 Hard'!$J$2</f>
        <v>0.65209340449763498</v>
      </c>
      <c r="G81" s="52" t="s">
        <v>503</v>
      </c>
      <c r="H81" s="63" t="str">
        <f>IF(VLOOKUP($G81,List!$A:$O,15,FALSE)=0,"",VLOOKUP($G81,List!$A:$O,15,FALSE))</f>
        <v/>
      </c>
      <c r="I81" s="47" t="str">
        <f>VLOOKUP($G81,List!$A:$U,2,FALSE)</f>
        <v>As Kaffa, develop in Cafa while a subject of yours owns it.</v>
      </c>
      <c r="J81" s="55">
        <f>VLOOKUP($G81,List!$A:$U,3,FALSE)</f>
        <v>6.0000000000000001E-3</v>
      </c>
      <c r="K81" s="4" t="str">
        <f>VLOOKUP($G81,List!$A:$U,4,FALSE)</f>
        <v>H</v>
      </c>
      <c r="L81" s="50">
        <f>VLOOKUP($G81,List!$A:$U,5,FALSE)</f>
        <v>147</v>
      </c>
      <c r="M81" s="47" t="str">
        <f>VLOOKUP($G81,List!$A:$U,17,FALSE)</f>
        <v>Playing as Kaffa</v>
      </c>
      <c r="N81" s="50" t="s">
        <v>1823</v>
      </c>
      <c r="O81" s="49" t="str">
        <f>VLOOKUP($G81,List!$A:$U,18,FALSE)</f>
        <v>- Developed in Caffa (285).
- Any subject nation owns Caffa.</v>
      </c>
      <c r="P81" s="38" t="str">
        <f>VLOOKUP($G81,List!$A:$U,19,FALSE)</f>
        <v>Caffa is in the Pontic Steppe region, initially owned by Genoa.</v>
      </c>
    </row>
    <row r="82" spans="1:16" ht="30" customHeight="1" x14ac:dyDescent="0.25">
      <c r="A82" s="39" t="s">
        <v>1954</v>
      </c>
      <c r="B82" s="60" t="s">
        <v>1876</v>
      </c>
      <c r="C82" s="4" t="s">
        <v>434</v>
      </c>
      <c r="D82" s="27">
        <f t="shared" si="2"/>
        <v>147.5</v>
      </c>
      <c r="E82" s="31">
        <f>D82/'Top 10 Hard'!$J$2</f>
        <v>3.9901423195847037E-3</v>
      </c>
      <c r="F82" s="31">
        <f>IF(NOT(ISNUMBER(F81)),0,F81)+Table1[[#This Row],[Points]]/'Top 10 Hard'!$J$2</f>
        <v>0.6560835468172197</v>
      </c>
      <c r="G82" s="51" t="s">
        <v>557</v>
      </c>
      <c r="H82" s="64" t="str">
        <f>IF(VLOOKUP($G82,List!$A:$O,15,FALSE)=0,"",VLOOKUP($G82,List!$A:$O,15,FALSE))</f>
        <v/>
      </c>
      <c r="I82" s="42" t="str">
        <f>VLOOKUP($G82,List!$A:$U,2,FALSE)</f>
        <v>As Gorkha form Nepal and defeat Prussia with at least 100,000 Prussian 
casualties in a war (both have to be primary targets of war).</v>
      </c>
      <c r="J82" s="54">
        <f>VLOOKUP($G82,List!$A:$U,3,FALSE)</f>
        <v>5.0000000000000001E-3</v>
      </c>
      <c r="K82" s="4" t="str">
        <f>VLOOKUP($G82,List!$A:$U,4,FALSE)</f>
        <v>H</v>
      </c>
      <c r="L82" s="44">
        <f>VLOOKUP($G82,List!$A:$U,5,FALSE)</f>
        <v>147.5</v>
      </c>
      <c r="M82" s="42" t="str">
        <f>VLOOKUP($G82,List!$A:$U,17,FALSE)</f>
        <v>Playing as Gorkha</v>
      </c>
      <c r="N82" s="44" t="s">
        <v>1823</v>
      </c>
      <c r="O82" s="43" t="str">
        <f>VLOOKUP($G82,List!$A:$U,18,FALSE)</f>
        <v>- Is Nepal
- Prussia must have lost at least 100,000 men in battles against Nepal 
in one war with both as primary participants</v>
      </c>
      <c r="P82" s="48" t="str">
        <f>VLOOKUP($G82,List!$A:$U,19,FALSE)</f>
        <v>The game only counts the losses in battles which show Prussia's flag in the 
battle list at the bottom of the war overview screen. If there are other 
countries on Prussia's side, battles which show their flag are not counted. 
But their losses are counted in battles which show Prussia's flag. 
Brandenburg or Teutonic Order can form Prussia even when subjects, though 
they'll still need to be Protestant or Reformed. If Prussia doesn't form 
naturally, you can create them by vassalizing one of the above tags and 
giving them the required provinces, helping them grow large enough to field 
a lot of troops and declaring war on them once they form Prussia.</v>
      </c>
    </row>
    <row r="83" spans="1:16" ht="30" customHeight="1" x14ac:dyDescent="0.25">
      <c r="A83" s="45" t="s">
        <v>1955</v>
      </c>
      <c r="B83" s="59" t="s">
        <v>1877</v>
      </c>
      <c r="C83" s="4" t="s">
        <v>242</v>
      </c>
      <c r="D83" s="27">
        <f t="shared" si="2"/>
        <v>71.5</v>
      </c>
      <c r="E83" s="31">
        <f>D83/'Top 10 Hard'!$J$2</f>
        <v>1.9342045820359751E-3</v>
      </c>
      <c r="F83" s="31">
        <f>IF(NOT(ISNUMBER(F82)),0,F82)+Table1[[#This Row],[Points]]/'Top 10 Hard'!$J$2</f>
        <v>0.65801775139925567</v>
      </c>
      <c r="G83" s="52" t="s">
        <v>336</v>
      </c>
      <c r="H83" s="63" t="str">
        <f>IF(VLOOKUP($G83,List!$A:$O,15,FALSE)=0,"",VLOOKUP($G83,List!$A:$O,15,FALSE))</f>
        <v/>
      </c>
      <c r="I83" s="47" t="str">
        <f>VLOOKUP($G83,List!$A:$U,2,FALSE)</f>
        <v>As Tunisia, own and have cores on Sicily, Sardinia, the Balearic Islands, 
the coast of Algiers and the southern coast of Spain.</v>
      </c>
      <c r="J83" s="55">
        <f>VLOOKUP($G83,List!$A:$U,3,FALSE)</f>
        <v>1.4E-2</v>
      </c>
      <c r="K83" s="4" t="str">
        <f>VLOOKUP($G83,List!$A:$U,4,FALSE)</f>
        <v>M</v>
      </c>
      <c r="L83" s="50">
        <f>VLOOKUP($G83,List!$A:$U,5,FALSE)</f>
        <v>71.5</v>
      </c>
      <c r="M83" s="47" t="str">
        <f>VLOOKUP($G83,List!$A:$U,17,FALSE)</f>
        <v>Playing as Tunis</v>
      </c>
      <c r="N83" s="50" t="s">
        <v>1823</v>
      </c>
      <c r="O83" s="49" t="str">
        <f>VLOOKUP($G83,List!$A:$U,18,FALSE)</f>
        <v>Own and core the following provinces:</v>
      </c>
      <c r="P83" s="48">
        <f>VLOOKUP($G83,List!$A:$U,19,FALSE)</f>
        <v>0</v>
      </c>
    </row>
    <row r="84" spans="1:16" ht="30" customHeight="1" x14ac:dyDescent="0.25">
      <c r="A84" s="39" t="s">
        <v>1956</v>
      </c>
      <c r="B84" s="60" t="s">
        <v>1887</v>
      </c>
      <c r="C84" s="4" t="s">
        <v>434</v>
      </c>
      <c r="D84" s="27">
        <f t="shared" si="2"/>
        <v>147</v>
      </c>
      <c r="E84" s="31">
        <f>D84/'Top 10 Hard'!$J$2</f>
        <v>3.97661641341662E-3</v>
      </c>
      <c r="F84" s="31">
        <f>IF(NOT(ISNUMBER(F83)),0,F83)+Table1[[#This Row],[Points]]/'Top 10 Hard'!$J$2</f>
        <v>0.66199436781267229</v>
      </c>
      <c r="G84" s="51" t="s">
        <v>499</v>
      </c>
      <c r="H84" s="64" t="str">
        <f>IF(VLOOKUP($G84,List!$A:$O,15,FALSE)=0,"",VLOOKUP($G84,List!$A:$O,15,FALSE))</f>
        <v/>
      </c>
      <c r="I84" s="42" t="str">
        <f>VLOOKUP($G84,List!$A:$U,2,FALSE)</f>
        <v>Starting as Madurai, conquer the Pandya Territories.</v>
      </c>
      <c r="J84" s="54">
        <f>VLOOKUP($G84,List!$A:$U,3,FALSE)</f>
        <v>6.0000000000000001E-3</v>
      </c>
      <c r="K84" s="4" t="str">
        <f>VLOOKUP($G84,List!$A:$U,4,FALSE)</f>
        <v>H</v>
      </c>
      <c r="L84" s="44">
        <f>VLOOKUP($G84,List!$A:$U,5,FALSE)</f>
        <v>147</v>
      </c>
      <c r="M84" s="42" t="str">
        <f>VLOOKUP($G84,List!$A:$U,17,FALSE)</f>
        <v>Playing as Madurai</v>
      </c>
      <c r="N84" s="44" t="s">
        <v>1823</v>
      </c>
      <c r="O84" s="43" t="str">
        <f>VLOOKUP($G84,List!$A:$U,18,FALSE)</f>
        <v>Own all provinces in the region of Coromandel and the areas of Malabar, 
Mysore, and Rayalaseema</v>
      </c>
      <c r="P84" s="48">
        <f>VLOOKUP($G84,List!$A:$U,19,FALSE)</f>
        <v>0</v>
      </c>
    </row>
    <row r="85" spans="1:16" ht="30" customHeight="1" x14ac:dyDescent="0.25">
      <c r="A85" s="45" t="s">
        <v>1957</v>
      </c>
      <c r="B85" s="59" t="s">
        <v>1890</v>
      </c>
      <c r="C85" s="4" t="s">
        <v>434</v>
      </c>
      <c r="D85" s="27">
        <f t="shared" si="2"/>
        <v>146.5</v>
      </c>
      <c r="E85" s="31">
        <f>D85/'Top 10 Hard'!$J$2</f>
        <v>3.9630905072485364E-3</v>
      </c>
      <c r="F85" s="31">
        <f>IF(NOT(ISNUMBER(F84)),0,F84)+Table1[[#This Row],[Points]]/'Top 10 Hard'!$J$2</f>
        <v>0.66595745831992081</v>
      </c>
      <c r="G85" s="52" t="s">
        <v>530</v>
      </c>
      <c r="H85" s="63" t="str">
        <f>IF(VLOOKUP($G85,List!$A:$O,15,FALSE)=0,"",VLOOKUP($G85,List!$A:$O,15,FALSE))</f>
        <v/>
      </c>
      <c r="I85" s="47" t="str">
        <f>VLOOKUP($G85,List!$A:$U,2,FALSE)</f>
        <v>As Ragusa, lead a Trade League of at least 5 nations and guarantee the 
Ottomans’ independence.</v>
      </c>
      <c r="J85" s="55">
        <f>VLOOKUP($G85,List!$A:$U,3,FALSE)</f>
        <v>7.0000000000000001E-3</v>
      </c>
      <c r="K85" s="4" t="str">
        <f>VLOOKUP($G85,List!$A:$U,4,FALSE)</f>
        <v>H</v>
      </c>
      <c r="L85" s="50">
        <f>VLOOKUP($G85,List!$A:$U,5,FALSE)</f>
        <v>146.5</v>
      </c>
      <c r="M85" s="47" t="str">
        <f>VLOOKUP($G85,List!$A:$U,17,FALSE)</f>
        <v>Playing as Ragusa</v>
      </c>
      <c r="N85" s="50" t="s">
        <v>1823</v>
      </c>
      <c r="O85" s="49" t="str">
        <f>VLOOKUP($G85,List!$A:$U,18,FALSE)</f>
        <v>- Lead a Trade League of at least 5 nations
- Guarantee the independence of Ottomans</v>
      </c>
      <c r="P85" s="48" t="str">
        <f>VLOOKUP($G85,List!$A:$U,19,FALSE)</f>
        <v>You can only guarantee a country if you are larger than it. Ironically, 
taking land from the Ottomans for a vassal is probably the best way to do 
this.</v>
      </c>
    </row>
    <row r="86" spans="1:16" ht="30" customHeight="1" x14ac:dyDescent="0.25">
      <c r="A86" s="39" t="s">
        <v>1958</v>
      </c>
      <c r="B86" s="60" t="s">
        <v>1892</v>
      </c>
      <c r="C86" s="4" t="s">
        <v>434</v>
      </c>
      <c r="D86" s="27">
        <f t="shared" si="2"/>
        <v>146.5</v>
      </c>
      <c r="E86" s="31">
        <f>D86/'Top 10 Hard'!$J$2</f>
        <v>3.9630905072485364E-3</v>
      </c>
      <c r="F86" s="31">
        <f>IF(NOT(ISNUMBER(F85)),0,F85)+Table1[[#This Row],[Points]]/'Top 10 Hard'!$J$2</f>
        <v>0.66992054882716934</v>
      </c>
      <c r="G86" s="51" t="s">
        <v>523</v>
      </c>
      <c r="H86" s="64" t="str">
        <f>IF(VLOOKUP($G86,List!$A:$O,15,FALSE)=0,"",VLOOKUP($G86,List!$A:$O,15,FALSE))</f>
        <v/>
      </c>
      <c r="I86" s="42" t="str">
        <f>VLOOKUP($G86,List!$A:$U,2,FALSE)</f>
        <v>Starting as Mysore, Conquer the Deccan and Coromandel Regions.</v>
      </c>
      <c r="J86" s="54">
        <f>VLOOKUP($G86,List!$A:$U,3,FALSE)</f>
        <v>7.0000000000000001E-3</v>
      </c>
      <c r="K86" s="4" t="str">
        <f>VLOOKUP($G86,List!$A:$U,4,FALSE)</f>
        <v>H</v>
      </c>
      <c r="L86" s="44">
        <f>VLOOKUP($G86,List!$A:$U,5,FALSE)</f>
        <v>146.5</v>
      </c>
      <c r="M86" s="42" t="str">
        <f>VLOOKUP($G86,List!$A:$U,17,FALSE)</f>
        <v>Playing as Mysore</v>
      </c>
      <c r="N86" s="44" t="s">
        <v>1823</v>
      </c>
      <c r="O86" s="43" t="str">
        <f>VLOOKUP($G86,List!$A:$U,18,FALSE)</f>
        <v>- All provinces in Deccan and Coromandel regions are owned by the 
country or a non-tributary subject</v>
      </c>
      <c r="P86" s="48" t="str">
        <f>VLOOKUP($G86,List!$A:$U,19,FALSE)</f>
        <v>You need to ally Bahmanis to make it possible to defeat Vijayanagar If you 
can't, then you might have to restart a few times or no-cb a country in 
southeast Asia</v>
      </c>
    </row>
    <row r="87" spans="1:16" ht="30" customHeight="1" x14ac:dyDescent="0.25">
      <c r="A87" s="45" t="s">
        <v>1959</v>
      </c>
      <c r="B87" s="59" t="s">
        <v>1891</v>
      </c>
      <c r="C87" s="4" t="s">
        <v>434</v>
      </c>
      <c r="D87" s="27">
        <f t="shared" si="2"/>
        <v>146.5</v>
      </c>
      <c r="E87" s="31">
        <f>D87/'Top 10 Hard'!$J$2</f>
        <v>3.9630905072485364E-3</v>
      </c>
      <c r="F87" s="31">
        <f>IF(NOT(ISNUMBER(F86)),0,F86)+Table1[[#This Row],[Points]]/'Top 10 Hard'!$J$2</f>
        <v>0.67388363933441786</v>
      </c>
      <c r="G87" s="52" t="s">
        <v>525</v>
      </c>
      <c r="H87" s="63" t="str">
        <f>IF(VLOOKUP($G87,List!$A:$O,15,FALSE)=0,"",VLOOKUP($G87,List!$A:$O,15,FALSE))</f>
        <v/>
      </c>
      <c r="I87" s="47" t="str">
        <f>VLOOKUP($G87,List!$A:$U,2,FALSE)</f>
        <v>Start as Candar and own 20 Sugar provinces between you and your subjects.</v>
      </c>
      <c r="J87" s="55">
        <f>VLOOKUP($G87,List!$A:$U,3,FALSE)</f>
        <v>7.0000000000000001E-3</v>
      </c>
      <c r="K87" s="4" t="str">
        <f>VLOOKUP($G87,List!$A:$U,4,FALSE)</f>
        <v>H</v>
      </c>
      <c r="L87" s="50">
        <f>VLOOKUP($G87,List!$A:$U,5,FALSE)</f>
        <v>146.5</v>
      </c>
      <c r="M87" s="47" t="str">
        <f>VLOOKUP($G87,List!$A:$U,17,FALSE)</f>
        <v>Playing as Candar</v>
      </c>
      <c r="N87" s="50" t="s">
        <v>1823</v>
      </c>
      <c r="O87" s="49" t="str">
        <f>VLOOKUP($G87,List!$A:$U,18,FALSE)</f>
        <v>Have 20 provinces of sugar owned by this country and its non-tributary 
subjects</v>
      </c>
      <c r="P87" s="38" t="str">
        <f>VLOOKUP($G87,List!$A:$U,19,FALSE)</f>
        <v>Fleeing to the new world is recommended, if not required for this 
achievement.</v>
      </c>
    </row>
    <row r="88" spans="1:16" ht="30" customHeight="1" x14ac:dyDescent="0.25">
      <c r="A88" s="39" t="s">
        <v>1960</v>
      </c>
      <c r="B88" s="60" t="s">
        <v>1893</v>
      </c>
      <c r="C88" s="4" t="s">
        <v>434</v>
      </c>
      <c r="D88" s="27">
        <f t="shared" si="2"/>
        <v>146.5</v>
      </c>
      <c r="E88" s="31">
        <f>D88/'Top 10 Hard'!$J$2</f>
        <v>3.9630905072485364E-3</v>
      </c>
      <c r="F88" s="31">
        <f>IF(NOT(ISNUMBER(F87)),0,F87)+Table1[[#This Row],[Points]]/'Top 10 Hard'!$J$2</f>
        <v>0.67784672984166638</v>
      </c>
      <c r="G88" s="51" t="s">
        <v>520</v>
      </c>
      <c r="H88" s="64" t="str">
        <f>IF(VLOOKUP($G88,List!$A:$O,15,FALSE)=0,"",VLOOKUP($G88,List!$A:$O,15,FALSE))</f>
        <v/>
      </c>
      <c r="I88" s="42" t="str">
        <f>VLOOKUP($G88,List!$A:$U,2,FALSE)</f>
        <v>As Garhwal own and maintain 52 forts without going into debt.</v>
      </c>
      <c r="J88" s="54">
        <f>VLOOKUP($G88,List!$A:$U,3,FALSE)</f>
        <v>7.0000000000000001E-3</v>
      </c>
      <c r="K88" s="4" t="str">
        <f>VLOOKUP($G88,List!$A:$U,4,FALSE)</f>
        <v>H</v>
      </c>
      <c r="L88" s="44">
        <f>VLOOKUP($G88,List!$A:$U,5,FALSE)</f>
        <v>146.5</v>
      </c>
      <c r="M88" s="42" t="str">
        <f>VLOOKUP($G88,List!$A:$U,17,FALSE)</f>
        <v>Playing as Garhwal</v>
      </c>
      <c r="N88" s="44" t="s">
        <v>1823</v>
      </c>
      <c r="O88" s="43" t="str">
        <f>VLOOKUP($G88,List!$A:$U,18,FALSE)</f>
        <v>- Has no loans
- Own at least 52 forts (level 2)</v>
      </c>
      <c r="P88" s="38">
        <f>VLOOKUP($G88,List!$A:$U,19,FALSE)</f>
        <v>0</v>
      </c>
    </row>
    <row r="89" spans="1:16" ht="30" customHeight="1" x14ac:dyDescent="0.25">
      <c r="A89" s="45" t="s">
        <v>1961</v>
      </c>
      <c r="B89" s="59" t="s">
        <v>1894</v>
      </c>
      <c r="C89" s="4" t="s">
        <v>434</v>
      </c>
      <c r="D89" s="27">
        <f t="shared" si="2"/>
        <v>146.5</v>
      </c>
      <c r="E89" s="31">
        <f>D89/'Top 10 Hard'!$J$2</f>
        <v>3.9630905072485364E-3</v>
      </c>
      <c r="F89" s="31">
        <f>IF(NOT(ISNUMBER(F88)),0,F88)+Table1[[#This Row],[Points]]/'Top 10 Hard'!$J$2</f>
        <v>0.68180982034891491</v>
      </c>
      <c r="G89" s="52" t="s">
        <v>461</v>
      </c>
      <c r="H89" s="63" t="str">
        <f>IF(VLOOKUP($G89,List!$A:$O,15,FALSE)=0,"",VLOOKUP($G89,List!$A:$O,15,FALSE))</f>
        <v/>
      </c>
      <c r="I89" s="47" t="str">
        <f>VLOOKUP($G89,List!$A:$U,2,FALSE)</f>
        <v>As Hamburg, trade in both Gems and Livestock.</v>
      </c>
      <c r="J89" s="55">
        <f>VLOOKUP($G89,List!$A:$U,3,FALSE)</f>
        <v>7.0000000000000001E-3</v>
      </c>
      <c r="K89" s="4" t="str">
        <f>VLOOKUP($G89,List!$A:$U,4,FALSE)</f>
        <v>H</v>
      </c>
      <c r="L89" s="50">
        <f>VLOOKUP($G89,List!$A:$U,5,FALSE)</f>
        <v>146.5</v>
      </c>
      <c r="M89" s="47" t="str">
        <f>VLOOKUP($G89,List!$A:$U,17,FALSE)</f>
        <v>Playing as Hamburg</v>
      </c>
      <c r="N89" s="50" t="s">
        <v>1823</v>
      </c>
      <c r="O89" s="49" t="str">
        <f>VLOOKUP($G89,List!$A:$U,18,FALSE)</f>
        <v>- Has country modifier *Trading in Livestock*
- Has country modifier *Trading in Gems*</v>
      </c>
      <c r="P89" s="38" t="str">
        <f>VLOOKUP($G89,List!$A:$U,19,FALSE)</f>
        <v>The "trading in" bonus is gained by controlling 20% of the trade value of a 
given commodity, calculated as the sum of the value of a good produced in a 
node times the percentage of trade you control in that node, added up for 
every node in the world. It is not necessary to expand further than 
Northern Europe in order to achieve the necessary economy. There are two 
gems provinces (Königsberg and Danzig) just upstream of Hamburg that can be 
highly developed in order to add up to the 20% necessary. The goods 
produced in these provinces can be maximized by adding the rest of Baltic 
trade node to a trade company (which gives a goods produced bonus to all 
other provinces in the node) and stating the two gems provinces. There are 
many livestock provinces in Denmark and around the Baltic that can be used 
to gain the trading in livestock bonus. Keep in mind that manufactories 
will contribute to the bonus, but workshops will not. You may wish to form 
Lübeck to gain better trade ideas. Plutocratic, Trade, and Infrastructure 
ideas are all helpful.</v>
      </c>
    </row>
    <row r="90" spans="1:16" ht="30" customHeight="1" x14ac:dyDescent="0.25">
      <c r="A90" s="39" t="s">
        <v>1962</v>
      </c>
      <c r="B90" s="60" t="s">
        <v>1792</v>
      </c>
      <c r="C90" s="4" t="s">
        <v>434</v>
      </c>
      <c r="D90" s="27">
        <f t="shared" si="2"/>
        <v>146.5</v>
      </c>
      <c r="E90" s="31">
        <f>D90/'Top 10 Hard'!$J$2</f>
        <v>3.9630905072485364E-3</v>
      </c>
      <c r="F90" s="31">
        <f>IF(NOT(ISNUMBER(F89)),0,F89)+Table1[[#This Row],[Points]]/'Top 10 Hard'!$J$2</f>
        <v>0.68577291085616343</v>
      </c>
      <c r="G90" s="51" t="s">
        <v>543</v>
      </c>
      <c r="H90" s="64" t="str">
        <f>IF(VLOOKUP($G90,List!$A:$O,15,FALSE)=0,"",VLOOKUP($G90,List!$A:$O,15,FALSE))</f>
        <v/>
      </c>
      <c r="I90" s="42" t="str">
        <f>VLOOKUP($G90,List!$A:$U,2,FALSE)</f>
        <v>Start as Orissa and own or have a subject own all tropical wood provinces.</v>
      </c>
      <c r="J90" s="54">
        <f>VLOOKUP($G90,List!$A:$U,3,FALSE)</f>
        <v>7.0000000000000001E-3</v>
      </c>
      <c r="K90" s="4" t="str">
        <f>VLOOKUP($G90,List!$A:$U,4,FALSE)</f>
        <v>H</v>
      </c>
      <c r="L90" s="44">
        <f>VLOOKUP($G90,List!$A:$U,5,FALSE)</f>
        <v>146.5</v>
      </c>
      <c r="M90" s="42" t="str">
        <f>VLOOKUP($G90,List!$A:$U,17,FALSE)</f>
        <v>Playing as Orissa</v>
      </c>
      <c r="N90" s="44" t="s">
        <v>1823</v>
      </c>
      <c r="O90" s="43" t="str">
        <f>VLOOKUP($G90,List!$A:$U,18,FALSE)</f>
        <v>All provinces with tropical wood are owned by the player's country or its 
non-tributary subjects. 
Provinces producing tropical wood at game start (orange) and uncolonized 
provinces capable of producing tropical wood (yellow)</v>
      </c>
      <c r="P90" s="48">
        <f>VLOOKUP($G90,List!$A:$U,19,FALSE)</f>
        <v>0</v>
      </c>
    </row>
    <row r="91" spans="1:16" ht="30" customHeight="1" x14ac:dyDescent="0.25">
      <c r="A91" s="45" t="s">
        <v>1963</v>
      </c>
      <c r="B91" s="59" t="s">
        <v>1895</v>
      </c>
      <c r="C91" s="4" t="s">
        <v>434</v>
      </c>
      <c r="D91" s="27">
        <f t="shared" si="2"/>
        <v>146.5</v>
      </c>
      <c r="E91" s="31">
        <f>D91/'Top 10 Hard'!$J$2</f>
        <v>3.9630905072485364E-3</v>
      </c>
      <c r="F91" s="31">
        <f>IF(NOT(ISNUMBER(F90)),0,F90)+Table1[[#This Row],[Points]]/'Top 10 Hard'!$J$2</f>
        <v>0.68973600136341195</v>
      </c>
      <c r="G91" s="52" t="s">
        <v>535</v>
      </c>
      <c r="H91" s="63" t="str">
        <f>IF(VLOOKUP($G91,List!$A:$O,15,FALSE)=0,"",VLOOKUP($G91,List!$A:$O,15,FALSE))</f>
        <v/>
      </c>
      <c r="I91" s="47" t="str">
        <f>VLOOKUP($G91,List!$A:$U,2,FALSE)</f>
        <v>Achieve Empire rank and conquer Hungary as Avaria.</v>
      </c>
      <c r="J91" s="55">
        <f>VLOOKUP($G91,List!$A:$U,3,FALSE)</f>
        <v>7.0000000000000001E-3</v>
      </c>
      <c r="K91" s="4" t="str">
        <f>VLOOKUP($G91,List!$A:$U,4,FALSE)</f>
        <v>H</v>
      </c>
      <c r="L91" s="50">
        <f>VLOOKUP($G91,List!$A:$U,5,FALSE)</f>
        <v>146.5</v>
      </c>
      <c r="M91" s="47" t="str">
        <f>VLOOKUP($G91,List!$A:$U,17,FALSE)</f>
        <v>Playing as Avaria</v>
      </c>
      <c r="N91" s="50" t="s">
        <v>1823</v>
      </c>
      <c r="O91" s="49" t="str">
        <f>VLOOKUP($G91,List!$A:$U,18,FALSE)</f>
        <v>- Is empire
- Avaria owns all provinces in the areas Alföld, Transdanubia, Slovakia, 
Northern Transylvania, and Southern Transylvania.</v>
      </c>
      <c r="P91" s="48">
        <f>VLOOKUP($G91,List!$A:$U,19,FALSE)</f>
        <v>0</v>
      </c>
    </row>
    <row r="92" spans="1:16" ht="30" customHeight="1" x14ac:dyDescent="0.25">
      <c r="A92" s="39" t="s">
        <v>1964</v>
      </c>
      <c r="B92" s="60" t="s">
        <v>1896</v>
      </c>
      <c r="C92" s="4" t="s">
        <v>242</v>
      </c>
      <c r="D92" s="27">
        <f t="shared" si="2"/>
        <v>73.25</v>
      </c>
      <c r="E92" s="31">
        <f>D92/'Top 10 Hard'!$J$2</f>
        <v>1.9815452536242682E-3</v>
      </c>
      <c r="F92" s="31">
        <f>IF(NOT(ISNUMBER(F91)),0,F91)+Table1[[#This Row],[Points]]/'Top 10 Hard'!$J$2</f>
        <v>0.69171754661703622</v>
      </c>
      <c r="G92" s="51" t="s">
        <v>309</v>
      </c>
      <c r="H92" s="64" t="str">
        <f>IF(VLOOKUP($G92,List!$A:$O,15,FALSE)=0,"",VLOOKUP($G92,List!$A:$O,15,FALSE))</f>
        <v/>
      </c>
      <c r="I92" s="42" t="str">
        <f>VLOOKUP($G92,List!$A:$U,2,FALSE)</f>
        <v>As Kuba, own or have a subject own Havana and be the world’s leading 
producer of Tobacco.</v>
      </c>
      <c r="J92" s="54">
        <f>VLOOKUP($G92,List!$A:$U,3,FALSE)</f>
        <v>7.0000000000000001E-3</v>
      </c>
      <c r="K92" s="4" t="str">
        <f>VLOOKUP($G92,List!$A:$U,4,FALSE)</f>
        <v>M</v>
      </c>
      <c r="L92" s="44">
        <f>VLOOKUP($G92,List!$A:$U,5,FALSE)</f>
        <v>73.25</v>
      </c>
      <c r="M92" s="42" t="str">
        <f>VLOOKUP($G92,List!$A:$U,17,FALSE)</f>
        <v>Playing as Kuba</v>
      </c>
      <c r="N92" s="44" t="s">
        <v>1823</v>
      </c>
      <c r="O92" s="43" t="str">
        <f>VLOOKUP($G92,List!$A:$U,18,FALSE)</f>
        <v>- Own or have a non-tributary subject own the province Havana (484)
- The leading producer of Tobacco is *either* this country or a subject 
of this country</v>
      </c>
      <c r="P92" s="38" t="str">
        <f>VLOOKUP($G92,List!$A:$U,19,FALSE)</f>
        <v>- Not possible with Random New World.
- Making the leading tobacco producer a tributary would count.</v>
      </c>
    </row>
    <row r="93" spans="1:16" ht="30" customHeight="1" x14ac:dyDescent="0.25">
      <c r="A93" s="45" t="s">
        <v>1965</v>
      </c>
      <c r="B93" s="59" t="s">
        <v>1897</v>
      </c>
      <c r="C93" s="4" t="s">
        <v>573</v>
      </c>
      <c r="D93" s="27">
        <f t="shared" si="2"/>
        <v>293</v>
      </c>
      <c r="E93" s="31">
        <f>D93/'Top 10 Hard'!$J$2</f>
        <v>7.9261810144970728E-3</v>
      </c>
      <c r="F93" s="31">
        <f>IF(NOT(ISNUMBER(F92)),0,F92)+Table1[[#This Row],[Points]]/'Top 10 Hard'!$J$2</f>
        <v>0.69964372763153326</v>
      </c>
      <c r="G93" s="52" t="s">
        <v>608</v>
      </c>
      <c r="H93" s="63" t="str">
        <f>IF(VLOOKUP($G93,List!$A:$O,15,FALSE)=0,"",VLOOKUP($G93,List!$A:$O,15,FALSE))</f>
        <v/>
      </c>
      <c r="I93" s="47" t="str">
        <f>VLOOKUP($G93,List!$A:$U,2,FALSE)</f>
        <v>Starting as Offaly, secure a Personal Union over an Iberian nation.</v>
      </c>
      <c r="J93" s="55">
        <f>VLOOKUP($G93,List!$A:$U,3,FALSE)</f>
        <v>7.0000000000000001E-3</v>
      </c>
      <c r="K93" s="4" t="str">
        <f>VLOOKUP($G93,List!$A:$U,4,FALSE)</f>
        <v>VH</v>
      </c>
      <c r="L93" s="50">
        <f>VLOOKUP($G93,List!$A:$U,5,FALSE)</f>
        <v>293</v>
      </c>
      <c r="M93" s="47" t="str">
        <f>VLOOKUP($G93,List!$A:$U,17,FALSE)</f>
        <v>Playing as Offaly</v>
      </c>
      <c r="N93" s="50" t="s">
        <v>1823</v>
      </c>
      <c r="O93" s="49" t="str">
        <f>VLOOKUP($G93,List!$A:$U,18,FALSE)</f>
        <v>- Lead a personal union over a country whose capital fulfills both of 
the following conditions: 
- is in the Iberia region
- has a province culture in the Iberian culture group</v>
      </c>
      <c r="P93" s="48" t="str">
        <f>VLOOKUP($G93,List!$A:$U,19,FALSE)</f>
        <v>Forming Ireland or another country *will not* prevent the achievement but 
instead only hiding its conditions. Take a single Spanish province with a 
core of another tag and release that tag as a vassal. Place dynasty member 
on the throne and annex the vassal. Return their core via the province 
screen to release them as an independent nation with your dynasty ruling. 
Claim their throne, immediately declare with restoration of union CB and 
enforce union for the achievement. 
It is also possible to obtain a "Restoration of Union" casus belli on Spain/
Castile by forming France and completing the mission French Claim to Naples 
(requires having the Emperor DLC activated and the Domination not active).</v>
      </c>
    </row>
    <row r="94" spans="1:16" ht="30" customHeight="1" x14ac:dyDescent="0.25">
      <c r="A94" s="39" t="s">
        <v>1966</v>
      </c>
      <c r="B94" s="60" t="s">
        <v>1898</v>
      </c>
      <c r="C94" s="4" t="s">
        <v>105</v>
      </c>
      <c r="D94" s="27">
        <f t="shared" si="2"/>
        <v>29.2</v>
      </c>
      <c r="E94" s="31">
        <f>D94/'Top 10 Hard'!$J$2</f>
        <v>7.8991292021609054E-4</v>
      </c>
      <c r="F94" s="31">
        <f>IF(NOT(ISNUMBER(F93)),0,F93)+Table1[[#This Row],[Points]]/'Top 10 Hard'!$J$2</f>
        <v>0.70043364055174939</v>
      </c>
      <c r="G94" s="51" t="s">
        <v>139</v>
      </c>
      <c r="H94" s="64" t="str">
        <f>IF(VLOOKUP($G94,List!$A:$O,15,FALSE)=0,"",VLOOKUP($G94,List!$A:$O,15,FALSE))</f>
        <v/>
      </c>
      <c r="I94" s="42" t="str">
        <f>VLOOKUP($G94,List!$A:$U,2,FALSE)</f>
        <v>Become Christian as Sindh.</v>
      </c>
      <c r="J94" s="54">
        <f>VLOOKUP($G94,List!$A:$U,3,FALSE)</f>
        <v>8.0000000000000002E-3</v>
      </c>
      <c r="K94" s="4" t="str">
        <f>VLOOKUP($G94,List!$A:$U,4,FALSE)</f>
        <v>E</v>
      </c>
      <c r="L94" s="44">
        <f>VLOOKUP($G94,List!$A:$U,5,FALSE)</f>
        <v>29.2</v>
      </c>
      <c r="M94" s="42" t="str">
        <f>VLOOKUP($G94,List!$A:$U,17,FALSE)</f>
        <v>Playing as Sindh</v>
      </c>
      <c r="N94" s="44" t="s">
        <v>1823</v>
      </c>
      <c r="O94" s="43" t="str">
        <f>VLOOKUP($G94,List!$A:$U,18,FALSE)</f>
        <v>- Is Sindh
- Religion is in Christian group</v>
      </c>
      <c r="P94" s="38" t="str">
        <f>VLOOKUP($G94,List!$A:$U,19,FALSE)</f>
        <v>The island Suqutra is the nearest Christian province and can be easily 
conquered from its owner Mahra, who will normally ally your neighbor 
Baluchistan. Sell your province Umarkot to a neighboring country (since 
Baluchistan does not want it) and declare war on them with your reconquest 
casus belli. Then, head to Mahra to eliminate their armies and siege their 
provinces until they will accept giving you Suqutra in a separate peace 
deal (you do not need to land any troops on the island for it to be 
selectable). Next, give Baluchistan all of your mainland provinces in a 
peace deal and declare bankruptcy. Since you are an OPM on a Coptic 
province, this will convert you to Coptic and grant the achievement.</v>
      </c>
    </row>
    <row r="95" spans="1:16" ht="30" customHeight="1" x14ac:dyDescent="0.25">
      <c r="A95" s="45" t="s">
        <v>1967</v>
      </c>
      <c r="B95" s="59" t="s">
        <v>1801</v>
      </c>
      <c r="C95" s="4" t="s">
        <v>434</v>
      </c>
      <c r="D95" s="27">
        <f t="shared" si="2"/>
        <v>146</v>
      </c>
      <c r="E95" s="31">
        <f>D95/'Top 10 Hard'!$J$2</f>
        <v>3.9495646010804528E-3</v>
      </c>
      <c r="F95" s="31">
        <f>IF(NOT(ISNUMBER(F94)),0,F94)+Table1[[#This Row],[Points]]/'Top 10 Hard'!$J$2</f>
        <v>0.70438320515282982</v>
      </c>
      <c r="G95" s="52" t="s">
        <v>549</v>
      </c>
      <c r="H95" s="63" t="str">
        <f>IF(VLOOKUP($G95,List!$A:$O,15,FALSE)=0,"",VLOOKUP($G95,List!$A:$O,15,FALSE))</f>
        <v/>
      </c>
      <c r="I95" s="47" t="str">
        <f>VLOOKUP($G95,List!$A:$U,2,FALSE)</f>
        <v>As Saxony, own or have a subject own all Chinaware provinces in the world.</v>
      </c>
      <c r="J95" s="55">
        <f>VLOOKUP($G95,List!$A:$U,3,FALSE)</f>
        <v>8.0000000000000002E-3</v>
      </c>
      <c r="K95" s="4" t="str">
        <f>VLOOKUP($G95,List!$A:$U,4,FALSE)</f>
        <v>H</v>
      </c>
      <c r="L95" s="50">
        <f>VLOOKUP($G95,List!$A:$U,5,FALSE)</f>
        <v>146</v>
      </c>
      <c r="M95" s="47" t="str">
        <f>VLOOKUP($G95,List!$A:$U,17,FALSE)</f>
        <v>Playing as Saxony</v>
      </c>
      <c r="N95" s="50" t="s">
        <v>1823</v>
      </c>
      <c r="O95" s="49" t="str">
        <f>VLOOKUP($G95,List!$A:$U,18,FALSE)</f>
        <v>- *Not* playing as a released vassal
- Is Saxony
- All provinces with chinaware are owned by Saxony or its non-tributary 
subjects.</v>
      </c>
      <c r="P95" s="48" t="str">
        <f>VLOOKUP($G95,List!$A:$U,19,FALSE)</f>
        <v>Chinaware appears in China, Japan, Korea and the East Indies.</v>
      </c>
    </row>
    <row r="96" spans="1:16" ht="30" customHeight="1" x14ac:dyDescent="0.25">
      <c r="A96" s="39" t="s">
        <v>1968</v>
      </c>
      <c r="B96" s="60" t="s">
        <v>1900</v>
      </c>
      <c r="C96" s="4" t="s">
        <v>242</v>
      </c>
      <c r="D96" s="27">
        <f t="shared" si="2"/>
        <v>87.1</v>
      </c>
      <c r="E96" s="31">
        <f>D96/'Top 10 Hard'!$J$2</f>
        <v>2.3562128544801879E-3</v>
      </c>
      <c r="F96" s="31">
        <f>IF(NOT(ISNUMBER(F95)),0,F95)+Table1[[#This Row],[Points]]/'Top 10 Hard'!$J$2</f>
        <v>0.70635798745337008</v>
      </c>
      <c r="G96" s="51" t="s">
        <v>277</v>
      </c>
      <c r="H96" s="64" t="str">
        <f>IF(VLOOKUP($G96,List!$A:$O,15,FALSE)=0,"",VLOOKUP($G96,List!$A:$O,15,FALSE))</f>
        <v>Y</v>
      </c>
      <c r="I96" s="42" t="str">
        <f>VLOOKUP($G96,List!$A:$U,2,FALSE)</f>
        <v>Starting as Cilli, form another nation.</v>
      </c>
      <c r="J96" s="54">
        <f>VLOOKUP($G96,List!$A:$U,3,FALSE)</f>
        <v>8.0000000000000002E-3</v>
      </c>
      <c r="K96" s="4" t="str">
        <f>VLOOKUP($G96,List!$A:$U,4,FALSE)</f>
        <v>M</v>
      </c>
      <c r="L96" s="44">
        <f>VLOOKUP($G96,List!$A:$U,5,FALSE)</f>
        <v>73</v>
      </c>
      <c r="M96" s="42" t="str">
        <f>VLOOKUP($G96,List!$A:$U,17,FALSE)</f>
        <v>- Playing as Cilli
- *Not* using a random New World</v>
      </c>
      <c r="N96" s="44" t="s">
        <v>1823</v>
      </c>
      <c r="O96" s="43" t="str">
        <f>VLOOKUP($G96,List!$A:$U,18,FALSE)</f>
        <v>- is *not*Cilli
- *Not* playing as a released vassal</v>
      </c>
      <c r="P96" s="38" t="str">
        <f>VLOOKUP($G96,List!$A:$U,19,FALSE)</f>
        <v>Can be done by annexing Croatia, then culture shifting and re-forming it. 
Use the fact that you are eligible to form a royal marriage with both 
Austria and Hungary in the early game and later grab alliances with Poland 
and/or Bohemia to defeat Hungary for the important provinces.</v>
      </c>
    </row>
    <row r="97" spans="1:16" ht="30" customHeight="1" x14ac:dyDescent="0.25">
      <c r="A97" s="39" t="s">
        <v>1968</v>
      </c>
      <c r="B97" s="60" t="s">
        <v>1900</v>
      </c>
      <c r="C97" s="4" t="s">
        <v>242</v>
      </c>
      <c r="D97" s="27">
        <f t="shared" si="2"/>
        <v>87.1</v>
      </c>
      <c r="E97" s="31">
        <f>D97/'Top 10 Hard'!$J$2</f>
        <v>2.3562128544801879E-3</v>
      </c>
      <c r="F97" s="31">
        <f>IF(NOT(ISNUMBER(F96)),0,F96)+Table1[[#This Row],[Points]]/'Top 10 Hard'!$J$2</f>
        <v>0.70673941800730999</v>
      </c>
      <c r="G97" s="51" t="s">
        <v>36</v>
      </c>
      <c r="H97" s="64" t="str">
        <f>IF(VLOOKUP($G97,List!$A:$O,15,FALSE)=0,"",VLOOKUP($G97,List!$A:$O,15,FALSE))</f>
        <v>Y</v>
      </c>
      <c r="I97" s="42" t="str">
        <f>VLOOKUP($G97,List!$A:$U,2,FALSE)</f>
        <v>Form the nation of Croatia and station a unit of cavalry in Stockholm.</v>
      </c>
      <c r="J97" s="54">
        <f>VLOOKUP($G97,List!$A:$U,3,FALSE)</f>
        <v>1.7999999999999999E-2</v>
      </c>
      <c r="K97" s="4" t="str">
        <f>VLOOKUP($G97,List!$A:$U,4,FALSE)</f>
        <v>VE</v>
      </c>
      <c r="L97" s="44">
        <f>VLOOKUP($G97,List!$A:$U,5,FALSE)</f>
        <v>14.1</v>
      </c>
      <c r="M97" s="42">
        <f>VLOOKUP($G97,List!$A:$U,17,FALSE)</f>
        <v>0</v>
      </c>
      <c r="N97" s="44" t="s">
        <v>1823</v>
      </c>
      <c r="O97" s="43" t="str">
        <f>VLOOKUP($G97,List!$A:$U,18,FALSE)</f>
        <v>- *Not* playing as a released vassal
- Is Croatia
- Station a unit of cavalry in Stockholm.</v>
      </c>
      <c r="P97" s="38" t="str">
        <f>VLOOKUP($G97,List!$A:$U,19,FALSE)</f>
        <v>Croatia doesn't actually have to be formed for the achievement. All you 
have to do to get this achievement is to start as Croatia, ask for military 
access from Sweden, load your starting cavalry regiment onto a transport, 
then sail up next to Stockholm and move your cavalry onto it.</v>
      </c>
    </row>
    <row r="98" spans="1:16" ht="30" customHeight="1" x14ac:dyDescent="0.25">
      <c r="A98" s="45" t="s">
        <v>1969</v>
      </c>
      <c r="B98" s="59" t="s">
        <v>1904</v>
      </c>
      <c r="C98" s="4" t="s">
        <v>434</v>
      </c>
      <c r="D98" s="27">
        <f t="shared" ref="D98:D129" si="3">SUMIFS($L:$L,$A:$A,$A98)</f>
        <v>145.5</v>
      </c>
      <c r="E98" s="31">
        <f>D98/'Top 10 Hard'!$J$2</f>
        <v>3.9360386949123692E-3</v>
      </c>
      <c r="F98" s="31">
        <f>IF(NOT(ISNUMBER(F97)),0,F97)+Table1[[#This Row],[Points]]/'Top 10 Hard'!$J$2</f>
        <v>0.71067545670222232</v>
      </c>
      <c r="G98" s="52" t="s">
        <v>488</v>
      </c>
      <c r="H98" s="63" t="str">
        <f>IF(VLOOKUP($G98,List!$A:$O,15,FALSE)=0,"",VLOOKUP($G98,List!$A:$O,15,FALSE))</f>
        <v/>
      </c>
      <c r="I98" s="47" t="str">
        <f>VLOOKUP($G98,List!$A:$U,2,FALSE)</f>
        <v>As Lucca, own Lucknow!</v>
      </c>
      <c r="J98" s="55">
        <f>VLOOKUP($G98,List!$A:$U,3,FALSE)</f>
        <v>8.9999999999999993E-3</v>
      </c>
      <c r="K98" s="4" t="str">
        <f>VLOOKUP($G98,List!$A:$U,4,FALSE)</f>
        <v>H</v>
      </c>
      <c r="L98" s="50">
        <f>VLOOKUP($G98,List!$A:$U,5,FALSE)</f>
        <v>145.5</v>
      </c>
      <c r="M98" s="47" t="str">
        <f>VLOOKUP($G98,List!$A:$U,17,FALSE)</f>
        <v>Playing as Lucca</v>
      </c>
      <c r="N98" s="50" t="s">
        <v>1823</v>
      </c>
      <c r="O98" s="49" t="str">
        <f>VLOOKUP($G98,List!$A:$U,18,FALSE)</f>
        <v>- *Not* playing as a released vassal
- Is Lucca
- Own and core Lucknow</v>
      </c>
      <c r="P98" s="48" t="str">
        <f>VLOOKUP($G98,List!$A:$U,19,FALSE)</f>
        <v>Lucknow is in northern India, initially owned by Jaunpur.</v>
      </c>
    </row>
    <row r="99" spans="1:16" ht="30" customHeight="1" x14ac:dyDescent="0.25">
      <c r="A99" s="39" t="s">
        <v>1970</v>
      </c>
      <c r="B99" s="60" t="s">
        <v>1907</v>
      </c>
      <c r="C99" s="4" t="s">
        <v>242</v>
      </c>
      <c r="D99" s="27">
        <f t="shared" si="3"/>
        <v>72.5</v>
      </c>
      <c r="E99" s="31">
        <f>D99/'Top 10 Hard'!$J$2</f>
        <v>1.9612563943721428E-3</v>
      </c>
      <c r="F99" s="31">
        <f>IF(NOT(ISNUMBER(F98)),0,F98)+Table1[[#This Row],[Points]]/'Top 10 Hard'!$J$2</f>
        <v>0.71263671309659449</v>
      </c>
      <c r="G99" s="51" t="s">
        <v>327</v>
      </c>
      <c r="H99" s="64" t="str">
        <f>IF(VLOOKUP($G99,List!$A:$O,15,FALSE)=0,"",VLOOKUP($G99,List!$A:$O,15,FALSE))</f>
        <v/>
      </c>
      <c r="I99" s="42" t="str">
        <f>VLOOKUP($G99,List!$A:$U,2,FALSE)</f>
        <v>Own and have cores on the Thirteen Colonies as Cherokee with all 
institutions embraced.</v>
      </c>
      <c r="J99" s="54">
        <f>VLOOKUP($G99,List!$A:$U,3,FALSE)</f>
        <v>0.01</v>
      </c>
      <c r="K99" s="4" t="str">
        <f>VLOOKUP($G99,List!$A:$U,4,FALSE)</f>
        <v>M</v>
      </c>
      <c r="L99" s="44">
        <f>VLOOKUP($G99,List!$A:$U,5,FALSE)</f>
        <v>72.5</v>
      </c>
      <c r="M99" s="42" t="str">
        <f>VLOOKUP($G99,List!$A:$U,17,FALSE)</f>
        <v>- Playing as Cherokee
- *Not* using a random New World.</v>
      </c>
      <c r="N99" s="44" t="s">
        <v>1823</v>
      </c>
      <c r="O99" s="43" t="str">
        <f>VLOOKUP($G99,List!$A:$U,18,FALSE)</f>
        <v>- Have embraced all institutions.
- Own and core all provinces in the areas: Westsylvania, Delaware Valley, 
Hudson Valley, Massachusetts, Connecticut, Virginia, Great Valley, Piedmont 
Plateau, North Carolina, South Carolina, Vandalia and Overmountain.
- Own and core the provinces: Guale, Penobscott, Shatteras, Mocama, 
Coweta, Sokoki, Kennebec, Passamaquoddy.</v>
      </c>
      <c r="P99" s="38">
        <f>VLOOKUP($G99,List!$A:$U,19,FALSE)</f>
        <v>0</v>
      </c>
    </row>
    <row r="100" spans="1:16" ht="30" customHeight="1" x14ac:dyDescent="0.25">
      <c r="A100" s="45" t="s">
        <v>2054</v>
      </c>
      <c r="B100" s="59" t="s">
        <v>2021</v>
      </c>
      <c r="C100" s="4" t="s">
        <v>434</v>
      </c>
      <c r="D100" s="27">
        <f t="shared" si="3"/>
        <v>148.5</v>
      </c>
      <c r="E100" s="31">
        <f>D100/'Top 10 Hard'!$J$2</f>
        <v>4.0171941319208718E-3</v>
      </c>
      <c r="F100" s="31">
        <f>IF(NOT(ISNUMBER(F99)),0,F99)+Table1[[#This Row],[Points]]/'Top 10 Hard'!$J$2</f>
        <v>0.71665390722851541</v>
      </c>
      <c r="G100" s="52" t="s">
        <v>456</v>
      </c>
      <c r="H100" s="63" t="str">
        <f>IF(VLOOKUP($G100,List!$A:$O,15,FALSE)=0,"",VLOOKUP($G100,List!$A:$O,15,FALSE))</f>
        <v/>
      </c>
      <c r="I100" s="47" t="str">
        <f>VLOOKUP($G100,List!$A:$U,2,FALSE)</f>
        <v>Starting as an Australian tribe unite Australia and subjugate Hungary.</v>
      </c>
      <c r="J100" s="55">
        <f>VLOOKUP($G100,List!$A:$U,3,FALSE)</f>
        <v>3.0000000000000001E-3</v>
      </c>
      <c r="K100" s="6" t="str">
        <f>VLOOKUP($G100,List!$A:$U,4,FALSE)</f>
        <v>H</v>
      </c>
      <c r="L100" s="50">
        <f>VLOOKUP($G100,List!$A:$U,5,FALSE)</f>
        <v>148.5</v>
      </c>
      <c r="M100" s="47" t="str">
        <f>VLOOKUP($G100,List!$A:$U,17,FALSE)</f>
        <v>Playing as one of the following countries: 
- Australia
- Tiwi
- Larrakia
- Yolngu
- Yanuwa
- Awngthim
- Kamilaroi
- Mianjin
- Eora
- Kulin
- Kaurna
- Palawa
- Wurundjeri
- Nyoongah
- Malgana</v>
      </c>
      <c r="N100" s="50" t="s">
        <v>1823</v>
      </c>
      <c r="O100" s="49" t="str">
        <f>VLOOKUP($G100,List!$A:$U,18,FALSE)</f>
        <v>- Hungary is a vassal of this country
- Owns all provinces in the Australia region.
- Is one of the following countries:
- Australia
- Tiwi
- Larrakia
- Yolngu
- Yanuwa
- Awngthim
- Kamilaroi
- Mianjin
- Eora
- Kulin
- Kaurna
- Palawa
- Wurundjeri
- Nyoongah
- Malgana</v>
      </c>
      <c r="P100" s="43" t="str">
        <f>VLOOKUP($G100,List!$A:$U,19,FALSE)</f>
        <v>Forming a federation will make the achievement much harder as your nation 
tag will change in the process. One possible way to circumvent this is 
becoming a steppe horde through government reforms, which changes the 
technology group to nomadic and allows you to form Australia, but becoming 
a horde in this way is only possible as a migratory tribe.</v>
      </c>
    </row>
    <row r="101" spans="1:16" ht="30" customHeight="1" x14ac:dyDescent="0.25">
      <c r="A101" s="39" t="s">
        <v>1971</v>
      </c>
      <c r="B101" s="60" t="s">
        <v>761</v>
      </c>
      <c r="C101" s="4" t="s">
        <v>434</v>
      </c>
      <c r="D101" s="27">
        <f t="shared" si="3"/>
        <v>144.5</v>
      </c>
      <c r="E101" s="31">
        <f>D101/'Top 10 Hard'!$J$2</f>
        <v>3.9089868825762011E-3</v>
      </c>
      <c r="F101" s="31">
        <f>IF(NOT(ISNUMBER(F100)),0,F100)+Table1[[#This Row],[Points]]/'Top 10 Hard'!$J$2</f>
        <v>0.72056289411109165</v>
      </c>
      <c r="G101" s="51" t="s">
        <v>540</v>
      </c>
      <c r="H101" s="64" t="str">
        <f>IF(VLOOKUP($G101,List!$A:$O,15,FALSE)=0,"",VLOOKUP($G101,List!$A:$O,15,FALSE))</f>
        <v/>
      </c>
      <c r="I101" s="42" t="str">
        <f>VLOOKUP($G101,List!$A:$U,2,FALSE)</f>
        <v>As Korea, own or have a subject own all Shinto, Confucian and Buddhist 
provinces in the world.</v>
      </c>
      <c r="J101" s="54">
        <f>VLOOKUP($G101,List!$A:$U,3,FALSE)</f>
        <v>1.0999999999999999E-2</v>
      </c>
      <c r="K101" s="4" t="str">
        <f>VLOOKUP($G101,List!$A:$U,4,FALSE)</f>
        <v>H</v>
      </c>
      <c r="L101" s="44">
        <f>VLOOKUP($G101,List!$A:$U,5,FALSE)</f>
        <v>144.5</v>
      </c>
      <c r="M101" s="42" t="str">
        <f>VLOOKUP($G101,List!$A:$U,17,FALSE)</f>
        <v>Playing as Korea</v>
      </c>
      <c r="N101" s="44" t="s">
        <v>1823</v>
      </c>
      <c r="O101" s="43" t="str">
        <f>VLOOKUP($G101,List!$A:$U,18,FALSE)</f>
        <v>All provinces following an Eastern religion are owned by Korea*or* its 
non-tributary subjects.</v>
      </c>
      <c r="P101" s="38" t="str">
        <f>VLOOKUP($G101,List!$A:$U,19,FALSE)</f>
        <v>The Eastern religions are Theravada, Vajrayana, Mahayana, Confucian, and 
Shinto. Due to Ming's size and power it is best to become their tributary 
and go after all other nations around before attempting to attack them. 
The province Kuma (2417) in the Pontic Steppe can turn Vajrayana Vajrayana 
due to the event which spawns Kalmyk.</v>
      </c>
    </row>
    <row r="102" spans="1:16" ht="30" customHeight="1" x14ac:dyDescent="0.25">
      <c r="A102" s="45" t="s">
        <v>1972</v>
      </c>
      <c r="B102" s="59" t="s">
        <v>1912</v>
      </c>
      <c r="C102" s="4" t="s">
        <v>434</v>
      </c>
      <c r="D102" s="27">
        <f t="shared" si="3"/>
        <v>158.65</v>
      </c>
      <c r="E102" s="31">
        <f>D102/'Top 10 Hard'!$J$2</f>
        <v>4.2917700271329715E-3</v>
      </c>
      <c r="F102" s="31">
        <f>IF(NOT(ISNUMBER(F101)),0,F101)+Table1[[#This Row],[Points]]/'Top 10 Hard'!$J$2</f>
        <v>0.7209592031618165</v>
      </c>
      <c r="G102" s="52" t="s">
        <v>103</v>
      </c>
      <c r="H102" s="63" t="str">
        <f>IF(VLOOKUP($G102,List!$A:$O,15,FALSE)=0,"",VLOOKUP($G102,List!$A:$O,15,FALSE))</f>
        <v/>
      </c>
      <c r="I102" s="47" t="str">
        <f>VLOOKUP($G102,List!$A:$U,2,FALSE)</f>
        <v>Starting as either Aq Qoyunlu or Qara Qoyunlu, have a royal marriage and 
an alliance with Ramazan.</v>
      </c>
      <c r="J102" s="55">
        <f>VLOOKUP($G102,List!$A:$U,3,FALSE)</f>
        <v>7.0000000000000001E-3</v>
      </c>
      <c r="K102" s="4" t="str">
        <f>VLOOKUP($G102,List!$A:$U,4,FALSE)</f>
        <v>VE</v>
      </c>
      <c r="L102" s="50">
        <f>VLOOKUP($G102,List!$A:$U,5,FALSE)</f>
        <v>14.65</v>
      </c>
      <c r="M102" s="47" t="str">
        <f>VLOOKUP($G102,List!$A:$U,17,FALSE)</f>
        <v>Is Aq Qoyunlu or Qara Qoyunlu</v>
      </c>
      <c r="N102" s="50" t="s">
        <v>1823</v>
      </c>
      <c r="O102" s="49" t="str">
        <f>VLOOKUP($G102,List!$A:$U,18,FALSE)</f>
        <v>- Is Aq Qoyunlu or Qara Qoyunlu
- Has an alliance with Ramazan
- Has a royal marriage with Ramazan</v>
      </c>
      <c r="P102" s="48" t="str">
        <f>VLOOKUP($G102,List!$A:$U,19,FALSE)</f>
        <v>Can be achieved in a little over a month. Take out a loan, send 50 ducats 
to Ramazan, send a scornful insult to one of their rivals, then send an 
alliance offer after a month. Ramazan should send you a marriage offer 
within a few days.</v>
      </c>
    </row>
    <row r="103" spans="1:16" ht="30" customHeight="1" x14ac:dyDescent="0.25">
      <c r="A103" s="45" t="s">
        <v>1972</v>
      </c>
      <c r="B103" s="59" t="s">
        <v>1912</v>
      </c>
      <c r="C103" s="4" t="s">
        <v>434</v>
      </c>
      <c r="D103" s="27">
        <f t="shared" si="3"/>
        <v>158.65</v>
      </c>
      <c r="E103" s="31">
        <f>D103/'Top 10 Hard'!$J$2</f>
        <v>4.2917700271329715E-3</v>
      </c>
      <c r="F103" s="31">
        <f>IF(NOT(ISNUMBER(F102)),0,F102)+Table1[[#This Row],[Points]]/'Top 10 Hard'!$J$2</f>
        <v>0.72485466413822464</v>
      </c>
      <c r="G103" s="52" t="s">
        <v>445</v>
      </c>
      <c r="H103" s="63" t="str">
        <f>IF(VLOOKUP($G103,List!$A:$O,15,FALSE)=0,"",VLOOKUP($G103,List!$A:$O,15,FALSE))</f>
        <v/>
      </c>
      <c r="I103" s="47" t="str">
        <f>VLOOKUP($G103,List!$A:$U,2,FALSE)</f>
        <v>As Aq Qoyunlu, own Tabriz and have Qara Qoyunlu not exist by 1478.</v>
      </c>
      <c r="J103" s="55">
        <f>VLOOKUP($G103,List!$A:$U,3,FALSE)</f>
        <v>1.2E-2</v>
      </c>
      <c r="K103" s="4" t="str">
        <f>VLOOKUP($G103,List!$A:$U,4,FALSE)</f>
        <v>H</v>
      </c>
      <c r="L103" s="50">
        <f>VLOOKUP($G103,List!$A:$U,5,FALSE)</f>
        <v>144</v>
      </c>
      <c r="M103" s="47" t="str">
        <f>VLOOKUP($G103,List!$A:$U,17,FALSE)</f>
        <v>Playing as Aq Qoyunlu</v>
      </c>
      <c r="N103" s="50" t="s">
        <v>1823</v>
      </c>
      <c r="O103" s="49" t="str">
        <f>VLOOKUP($G103,List!$A:$U,18,FALSE)</f>
        <v>- The year is before 1478
- Qara Qoyunlu does *not* exist
- Owns Tabriz</v>
      </c>
      <c r="P103" s="48" t="str">
        <f>VLOOKUP($G103,List!$A:$U,19,FALSE)</f>
        <v>As long as you own Tabriz, any other provinces owned by Qara Qoyunlu at 
game start can be owned by other nations. Vassal/ally feeding can be 
useful. Iraq has many cores on the required area, and there are several 
nations that can be released from Qara Qoyunlu's provinces.</v>
      </c>
    </row>
    <row r="104" spans="1:16" ht="30" customHeight="1" x14ac:dyDescent="0.25">
      <c r="A104" s="39" t="s">
        <v>1973</v>
      </c>
      <c r="B104" s="60" t="s">
        <v>1914</v>
      </c>
      <c r="C104" s="4" t="s">
        <v>434</v>
      </c>
      <c r="D104" s="27">
        <f t="shared" si="3"/>
        <v>144</v>
      </c>
      <c r="E104" s="31">
        <f>D104/'Top 10 Hard'!$J$2</f>
        <v>3.8954609764081179E-3</v>
      </c>
      <c r="F104" s="31">
        <f>IF(NOT(ISNUMBER(F103)),0,F103)+Table1[[#This Row],[Points]]/'Top 10 Hard'!$J$2</f>
        <v>0.72875012511463277</v>
      </c>
      <c r="G104" s="51" t="s">
        <v>444</v>
      </c>
      <c r="H104" s="64" t="str">
        <f>IF(VLOOKUP($G104,List!$A:$O,15,FALSE)=0,"",VLOOKUP($G104,List!$A:$O,15,FALSE))</f>
        <v>Y</v>
      </c>
      <c r="I104" s="42" t="str">
        <f>VLOOKUP($G104,List!$A:$U,2,FALSE)</f>
        <v>As Dithmarschen, hold the provinces of Sjaelland and Holland while Denmark 
do not exist.</v>
      </c>
      <c r="J104" s="54">
        <f>VLOOKUP($G104,List!$A:$U,3,FALSE)</f>
        <v>1.2E-2</v>
      </c>
      <c r="K104" s="4" t="str">
        <f>VLOOKUP($G104,List!$A:$U,4,FALSE)</f>
        <v>H</v>
      </c>
      <c r="L104" s="44">
        <f>VLOOKUP($G104,List!$A:$U,5,FALSE)</f>
        <v>144</v>
      </c>
      <c r="M104" s="42" t="str">
        <f>VLOOKUP($G104,List!$A:$U,17,FALSE)</f>
        <v>Playing as Dithmarschen</v>
      </c>
      <c r="N104" s="44" t="s">
        <v>1823</v>
      </c>
      <c r="O104" s="43" t="str">
        <f>VLOOKUP($G104,List!$A:$U,18,FALSE)</f>
        <v>- Denmark does *not* exist
- Own the provinces of Sjælland (12) and Amsterdam (97)</v>
      </c>
      <c r="P104" s="48">
        <f>VLOOKUP($G104,List!$A:$U,19,FALSE)</f>
        <v>0</v>
      </c>
    </row>
    <row r="105" spans="1:16" ht="30" customHeight="1" x14ac:dyDescent="0.25">
      <c r="A105" s="45" t="s">
        <v>1974</v>
      </c>
      <c r="B105" s="59" t="s">
        <v>1913</v>
      </c>
      <c r="C105" s="4" t="s">
        <v>105</v>
      </c>
      <c r="D105" s="27">
        <f t="shared" si="3"/>
        <v>28.2</v>
      </c>
      <c r="E105" s="31">
        <f>D105/'Top 10 Hard'!$J$2</f>
        <v>7.6286110787992308E-4</v>
      </c>
      <c r="F105" s="31">
        <f>IF(NOT(ISNUMBER(F104)),0,F104)+Table1[[#This Row],[Points]]/'Top 10 Hard'!$J$2</f>
        <v>0.7295129862225127</v>
      </c>
      <c r="G105" s="52" t="s">
        <v>117</v>
      </c>
      <c r="H105" s="63" t="str">
        <f>IF(VLOOKUP($G105,List!$A:$O,15,FALSE)=0,"",VLOOKUP($G105,List!$A:$O,15,FALSE))</f>
        <v/>
      </c>
      <c r="I105" s="47" t="str">
        <f>VLOOKUP($G105,List!$A:$U,2,FALSE)</f>
        <v>As Qara Qoyunlu become the leading producer of wool.</v>
      </c>
      <c r="J105" s="55">
        <f>VLOOKUP($G105,List!$A:$U,3,FALSE)</f>
        <v>1.7999999999999999E-2</v>
      </c>
      <c r="K105" s="4" t="str">
        <f>VLOOKUP($G105,List!$A:$U,4,FALSE)</f>
        <v>E</v>
      </c>
      <c r="L105" s="50">
        <f>VLOOKUP($G105,List!$A:$U,5,FALSE)</f>
        <v>28.2</v>
      </c>
      <c r="M105" s="47" t="str">
        <f>VLOOKUP($G105,List!$A:$U,17,FALSE)</f>
        <v>Playing as Qara Qoyunlu</v>
      </c>
      <c r="N105" s="50" t="s">
        <v>1823</v>
      </c>
      <c r="O105" s="49" t="str">
        <f>VLOOKUP($G105,List!$A:$U,18,FALSE)</f>
        <v>Be production leader of wool</v>
      </c>
      <c r="P105" s="38" t="str">
        <f>VLOOKUP($G105,List!$A:$U,19,FALSE)</f>
        <v>You start with 5 wool-producing provinces. Focus solely on accumulating 
diplomatic points to develop them. Can be done before 1450. 
Alternatively, annexing Bitlis with 3 additional provinces will reduce the 
amount of developing needed (note that annexation can start as early as 
1445 in this case). Annexing neighbouring OPM Hisn Kayfa also helps, as 
they produce wool.</v>
      </c>
    </row>
    <row r="106" spans="1:16" ht="30" customHeight="1" x14ac:dyDescent="0.25">
      <c r="A106" s="39" t="s">
        <v>1975</v>
      </c>
      <c r="B106" s="60" t="s">
        <v>1915</v>
      </c>
      <c r="C106" s="4" t="s">
        <v>434</v>
      </c>
      <c r="D106" s="27">
        <f t="shared" si="3"/>
        <v>144</v>
      </c>
      <c r="E106" s="31">
        <f>D106/'Top 10 Hard'!$J$2</f>
        <v>3.8954609764081179E-3</v>
      </c>
      <c r="F106" s="31">
        <f>IF(NOT(ISNUMBER(F105)),0,F105)+Table1[[#This Row],[Points]]/'Top 10 Hard'!$J$2</f>
        <v>0.73340844719892084</v>
      </c>
      <c r="G106" s="51" t="s">
        <v>484</v>
      </c>
      <c r="H106" s="64" t="str">
        <f>IF(VLOOKUP($G106,List!$A:$O,15,FALSE)=0,"",VLOOKUP($G106,List!$A:$O,15,FALSE))</f>
        <v/>
      </c>
      <c r="I106" s="42" t="str">
        <f>VLOOKUP($G106,List!$A:$U,2,FALSE)</f>
        <v>As Serbia, own the entire Balkans as core provinces.</v>
      </c>
      <c r="J106" s="54">
        <f>VLOOKUP($G106,List!$A:$U,3,FALSE)</f>
        <v>1.2E-2</v>
      </c>
      <c r="K106" s="4" t="str">
        <f>VLOOKUP($G106,List!$A:$U,4,FALSE)</f>
        <v>H</v>
      </c>
      <c r="L106" s="44">
        <f>VLOOKUP($G106,List!$A:$U,5,FALSE)</f>
        <v>144</v>
      </c>
      <c r="M106" s="42" t="str">
        <f>VLOOKUP($G106,List!$A:$U,17,FALSE)</f>
        <v>Playing as Serbia</v>
      </c>
      <c r="N106" s="44" t="s">
        <v>1823</v>
      </c>
      <c r="O106" s="43" t="str">
        <f>VLOOKUP($G106,List!$A:$U,18,FALSE)</f>
        <v>- *Not* playing as a released vassal
- Is Serbia
- Own and core all provinces in the Balkans region</v>
      </c>
      <c r="P106" s="38">
        <f>VLOOKUP($G106,List!$A:$U,19,FALSE)</f>
        <v>0</v>
      </c>
    </row>
    <row r="107" spans="1:16" ht="30" customHeight="1" x14ac:dyDescent="0.25">
      <c r="A107" s="45" t="s">
        <v>1976</v>
      </c>
      <c r="B107" s="59" t="s">
        <v>1916</v>
      </c>
      <c r="C107" s="4" t="s">
        <v>242</v>
      </c>
      <c r="D107" s="27">
        <f t="shared" si="3"/>
        <v>71.75</v>
      </c>
      <c r="E107" s="31">
        <f>D107/'Top 10 Hard'!$J$2</f>
        <v>1.9409675351200169E-3</v>
      </c>
      <c r="F107" s="31">
        <f>IF(NOT(ISNUMBER(F106)),0,F106)+Table1[[#This Row],[Points]]/'Top 10 Hard'!$J$2</f>
        <v>0.73534941473404081</v>
      </c>
      <c r="G107" s="52" t="s">
        <v>293</v>
      </c>
      <c r="H107" s="63" t="str">
        <f>IF(VLOOKUP($G107,List!$A:$O,15,FALSE)=0,"",VLOOKUP($G107,List!$A:$O,15,FALSE))</f>
        <v>Y</v>
      </c>
      <c r="I107" s="47" t="str">
        <f>VLOOKUP($G107,List!$A:$U,2,FALSE)</f>
        <v>As Hesse, have at least 50 regiments of mercenaries and no loans.</v>
      </c>
      <c r="J107" s="55">
        <f>VLOOKUP($G107,List!$A:$U,3,FALSE)</f>
        <v>1.2999999999999999E-2</v>
      </c>
      <c r="K107" s="4" t="str">
        <f>VLOOKUP($G107,List!$A:$U,4,FALSE)</f>
        <v>M</v>
      </c>
      <c r="L107" s="50">
        <f>VLOOKUP($G107,List!$A:$U,5,FALSE)</f>
        <v>71.75</v>
      </c>
      <c r="M107" s="47" t="str">
        <f>VLOOKUP($G107,List!$A:$U,17,FALSE)</f>
        <v>Playing as Hesse</v>
      </c>
      <c r="N107" s="50" t="s">
        <v>1823</v>
      </c>
      <c r="O107" s="49" t="str">
        <f>VLOOKUP($G107,List!$A:$U,18,FALSE)</f>
        <v>- *Not* playing as a released vassal
- is Hesse
- Have 50 regiments of mercenaries
- Have no loans</v>
      </c>
      <c r="P107" s="48">
        <f>VLOOKUP($G107,List!$A:$U,19,FALSE)</f>
        <v>0</v>
      </c>
    </row>
    <row r="108" spans="1:16" ht="30" customHeight="1" x14ac:dyDescent="0.25">
      <c r="A108" s="39" t="s">
        <v>1977</v>
      </c>
      <c r="B108" s="60" t="s">
        <v>1917</v>
      </c>
      <c r="C108" s="4" t="s">
        <v>105</v>
      </c>
      <c r="D108" s="27">
        <f t="shared" si="3"/>
        <v>28.6</v>
      </c>
      <c r="E108" s="31">
        <f>D108/'Top 10 Hard'!$J$2</f>
        <v>7.7368183281439006E-4</v>
      </c>
      <c r="F108" s="31">
        <f>IF(NOT(ISNUMBER(F107)),0,F107)+Table1[[#This Row],[Points]]/'Top 10 Hard'!$J$2</f>
        <v>0.73612309656685515</v>
      </c>
      <c r="G108" s="51" t="s">
        <v>182</v>
      </c>
      <c r="H108" s="64" t="str">
        <f>IF(VLOOKUP($G108,List!$A:$O,15,FALSE)=0,"",VLOOKUP($G108,List!$A:$O,15,FALSE))</f>
        <v/>
      </c>
      <c r="I108" s="42" t="str">
        <f>VLOOKUP($G108,List!$A:$U,2,FALSE)</f>
        <v>Starting as Butua, conquer Mutapa (Zimbabwe and Lower Zambezi areas).</v>
      </c>
      <c r="J108" s="54">
        <f>VLOOKUP($G108,List!$A:$U,3,FALSE)</f>
        <v>1.4E-2</v>
      </c>
      <c r="K108" s="4" t="str">
        <f>VLOOKUP($G108,List!$A:$U,4,FALSE)</f>
        <v>E</v>
      </c>
      <c r="L108" s="44">
        <f>VLOOKUP($G108,List!$A:$U,5,FALSE)</f>
        <v>28.6</v>
      </c>
      <c r="M108" s="42" t="str">
        <f>VLOOKUP($G108,List!$A:$U,17,FALSE)</f>
        <v>Playing as Butua</v>
      </c>
      <c r="N108" s="44" t="s">
        <v>1823</v>
      </c>
      <c r="O108" s="43" t="str">
        <f>VLOOKUP($G108,List!$A:$U,18,FALSE)</f>
        <v>- Own all provinces in the following areas: 
- Butua
- Lower Zambezi
- Zimbabwe</v>
      </c>
      <c r="P108" s="38" t="str">
        <f>VLOOKUP($G108,List!$A:$U,19,FALSE)</f>
        <v>Easy only with Conquest of Paradise or El Dorado DLC. Starting in 1444 you 
can always get Kilwa (and at least one of these: Tumbuka, Maravi, Makua) to 
support your independence. Declare war ASAP and boost your gold production. 
Without either of these DLCs, you're on your own. Save up money and build 
an army when Mutapa has started integrating you.</v>
      </c>
    </row>
    <row r="109" spans="1:16" ht="30" customHeight="1" x14ac:dyDescent="0.25">
      <c r="A109" s="45" t="s">
        <v>1978</v>
      </c>
      <c r="B109" s="59" t="s">
        <v>1918</v>
      </c>
      <c r="C109" s="4" t="s">
        <v>242</v>
      </c>
      <c r="D109" s="27">
        <f t="shared" si="3"/>
        <v>71.25</v>
      </c>
      <c r="E109" s="31">
        <f>D109/'Top 10 Hard'!$J$2</f>
        <v>1.9274416289519333E-3</v>
      </c>
      <c r="F109" s="31">
        <f>IF(NOT(ISNUMBER(F108)),0,F108)+Table1[[#This Row],[Points]]/'Top 10 Hard'!$J$2</f>
        <v>0.73805053819580713</v>
      </c>
      <c r="G109" s="52" t="s">
        <v>269</v>
      </c>
      <c r="H109" s="63" t="str">
        <f>IF(VLOOKUP($G109,List!$A:$O,15,FALSE)=0,"",VLOOKUP($G109,List!$A:$O,15,FALSE))</f>
        <v/>
      </c>
      <c r="I109" s="47" t="str">
        <f>VLOOKUP($G109,List!$A:$U,2,FALSE)</f>
        <v>Start as Bengal and own Samarkand as a core province.</v>
      </c>
      <c r="J109" s="55">
        <f>VLOOKUP($G109,List!$A:$U,3,FALSE)</f>
        <v>1.4999999999999999E-2</v>
      </c>
      <c r="K109" s="4" t="str">
        <f>VLOOKUP($G109,List!$A:$U,4,FALSE)</f>
        <v>M</v>
      </c>
      <c r="L109" s="50">
        <f>VLOOKUP($G109,List!$A:$U,5,FALSE)</f>
        <v>71.25</v>
      </c>
      <c r="M109" s="47" t="str">
        <f>VLOOKUP($G109,List!$A:$U,17,FALSE)</f>
        <v>Playing as Bengal</v>
      </c>
      <c r="N109" s="50" t="s">
        <v>1823</v>
      </c>
      <c r="O109" s="49" t="str">
        <f>VLOOKUP($G109,List!$A:$U,18,FALSE)</f>
        <v>Own and core Samarkand.</v>
      </c>
      <c r="P109" s="48">
        <f>VLOOKUP($G109,List!$A:$U,19,FALSE)</f>
        <v>0</v>
      </c>
    </row>
    <row r="110" spans="1:16" ht="30" customHeight="1" x14ac:dyDescent="0.25">
      <c r="A110" s="39" t="s">
        <v>2029</v>
      </c>
      <c r="B110" s="60" t="s">
        <v>2011</v>
      </c>
      <c r="C110" s="4" t="s">
        <v>434</v>
      </c>
      <c r="D110" s="27">
        <f t="shared" si="3"/>
        <v>146</v>
      </c>
      <c r="E110" s="31">
        <f>D110/'Top 10 Hard'!$J$2</f>
        <v>3.9495646010804528E-3</v>
      </c>
      <c r="F110" s="31">
        <f>IF(NOT(ISNUMBER(F109)),0,F109)+Table1[[#This Row],[Points]]/'Top 10 Hard'!$J$2</f>
        <v>0.74200010279688755</v>
      </c>
      <c r="G110" s="51" t="s">
        <v>501</v>
      </c>
      <c r="H110" s="64" t="str">
        <f>IF(VLOOKUP($G110,List!$A:$O,15,FALSE)=0,"",VLOOKUP($G110,List!$A:$O,15,FALSE))</f>
        <v/>
      </c>
      <c r="I110" s="42" t="str">
        <f>VLOOKUP($G110,List!$A:$U,2,FALSE)</f>
        <v>As Cebu, recreate the Chola Empire.</v>
      </c>
      <c r="J110" s="54">
        <f>VLOOKUP($G110,List!$A:$U,3,FALSE)</f>
        <v>8.0000000000000002E-3</v>
      </c>
      <c r="K110" s="6" t="str">
        <f>VLOOKUP($G110,List!$A:$U,4,FALSE)</f>
        <v>H</v>
      </c>
      <c r="L110" s="44">
        <f>VLOOKUP($G110,List!$A:$U,5,FALSE)</f>
        <v>146</v>
      </c>
      <c r="M110" s="42">
        <f>VLOOKUP($G110,List!$A:$U,17,FALSE)</f>
        <v>0</v>
      </c>
      <c r="N110" s="44" t="s">
        <v>1823</v>
      </c>
      <c r="O110" s="43" t="str">
        <f>VLOOKUP($G110,List!$A:$U,18,FALSE)</f>
        <v>- Is Cebu
- Own the following provinces:</v>
      </c>
      <c r="P110" s="43">
        <f>VLOOKUP($G110,List!$A:$U,19,FALSE)</f>
        <v>0</v>
      </c>
    </row>
    <row r="111" spans="1:16" ht="30" customHeight="1" x14ac:dyDescent="0.25">
      <c r="A111" s="45" t="s">
        <v>1979</v>
      </c>
      <c r="B111" s="59" t="s">
        <v>1667</v>
      </c>
      <c r="C111" s="4" t="s">
        <v>242</v>
      </c>
      <c r="D111" s="27">
        <f t="shared" si="3"/>
        <v>69</v>
      </c>
      <c r="E111" s="31">
        <f>D111/'Top 10 Hard'!$J$2</f>
        <v>1.8665750511955563E-3</v>
      </c>
      <c r="F111" s="31">
        <f>IF(NOT(ISNUMBER(F110)),0,F110)+Table1[[#This Row],[Points]]/'Top 10 Hard'!$J$2</f>
        <v>0.74386667784808314</v>
      </c>
      <c r="G111" s="52" t="s">
        <v>312</v>
      </c>
      <c r="H111" s="63" t="str">
        <f>IF(VLOOKUP($G111,List!$A:$O,15,FALSE)=0,"",VLOOKUP($G111,List!$A:$O,15,FALSE))</f>
        <v/>
      </c>
      <c r="I111" s="47" t="str">
        <f>VLOOKUP($G111,List!$A:$U,2,FALSE)</f>
        <v>Start as Sweden and lead the Protestant League to victory against the 
Emperor.</v>
      </c>
      <c r="J111" s="55">
        <f>VLOOKUP($G111,List!$A:$U,3,FALSE)</f>
        <v>2.4E-2</v>
      </c>
      <c r="K111" s="4" t="str">
        <f>VLOOKUP($G111,List!$A:$U,4,FALSE)</f>
        <v>M</v>
      </c>
      <c r="L111" s="50">
        <f>VLOOKUP($G111,List!$A:$U,5,FALSE)</f>
        <v>69</v>
      </c>
      <c r="M111" s="47" t="str">
        <f>VLOOKUP($G111,List!$A:$U,17,FALSE)</f>
        <v>Playing as Sweden</v>
      </c>
      <c r="N111" s="50" t="s">
        <v>1823</v>
      </c>
      <c r="O111" s="49" t="str">
        <f>VLOOKUP($G111,List!$A:$U,18,FALSE)</f>
        <v>- Is Protestant
- Lead and win League War</v>
      </c>
      <c r="P111" s="38" t="str">
        <f>VLOOKUP($G111,List!$A:$U,19,FALSE)</f>
        <v>Has to be Protestant and lead the League.</v>
      </c>
    </row>
    <row r="112" spans="1:16" ht="30" customHeight="1" x14ac:dyDescent="0.25">
      <c r="A112" s="39" t="s">
        <v>1980</v>
      </c>
      <c r="B112" s="60" t="s">
        <v>2003</v>
      </c>
      <c r="C112" s="6" t="s">
        <v>434</v>
      </c>
      <c r="D112" s="27">
        <f t="shared" si="3"/>
        <v>139.5</v>
      </c>
      <c r="E112" s="31">
        <f>D112/'Top 10 Hard'!$J$2</f>
        <v>3.773727820895364E-3</v>
      </c>
      <c r="F112" s="31">
        <f>IF(NOT(ISNUMBER(F111)),0,F111)+Table1[[#This Row],[Points]]/'Top 10 Hard'!$J$2</f>
        <v>0.74764040566897849</v>
      </c>
      <c r="G112" s="51" t="s">
        <v>486</v>
      </c>
      <c r="H112" s="64" t="str">
        <f>IF(VLOOKUP($G112,List!$A:$O,15,FALSE)=0,"",VLOOKUP($G112,List!$A:$O,15,FALSE))</f>
        <v>Y</v>
      </c>
      <c r="I112" s="42" t="str">
        <f>VLOOKUP($G112,List!$A:$U,2,FALSE)</f>
        <v>Own and have cores on the British Isles as an Irish nation.</v>
      </c>
      <c r="J112" s="54">
        <f>VLOOKUP($G112,List!$A:$U,3,FALSE)</f>
        <v>2.1000000000000001E-2</v>
      </c>
      <c r="K112" s="6" t="str">
        <f>VLOOKUP($G112,List!$A:$U,4,FALSE)</f>
        <v>H</v>
      </c>
      <c r="L112" s="44">
        <f>VLOOKUP($G112,List!$A:$U,5,FALSE)</f>
        <v>139.5</v>
      </c>
      <c r="M112" s="42" t="str">
        <f>VLOOKUP($G112,List!$A:$U,17,FALSE)</f>
        <v>Primary culture is *Irish*</v>
      </c>
      <c r="N112" s="44" t="s">
        <v>1823</v>
      </c>
      <c r="O112" s="43" t="str">
        <f>VLOOKUP($G112,List!$A:$U,18,FALSE)</f>
        <v>Own and core all provinces of the Britain region.</v>
      </c>
      <c r="P112" s="49" t="str">
        <f>VLOOKUP($G112,List!$A:$U,19,FALSE)</f>
        <v>Possible starts are Clanricarde, Desmond, Kildare, Leinster, Munster, Offaly, 
Ormond, Sligo, Thomond, Tyrconnell, Tyrone and Ulster. 
Desmond is a good choice due to early military ideas. Rushing to conquer 
the rest of the Irish OPMs and securing an alliance with Scotland can deter 
England until the time is right.</v>
      </c>
    </row>
    <row r="113" spans="1:16" ht="30" customHeight="1" x14ac:dyDescent="0.25">
      <c r="A113" s="45" t="s">
        <v>1981</v>
      </c>
      <c r="B113" s="59" t="s">
        <v>2004</v>
      </c>
      <c r="C113" s="4" t="s">
        <v>434</v>
      </c>
      <c r="D113" s="27">
        <f t="shared" si="3"/>
        <v>147</v>
      </c>
      <c r="E113" s="31">
        <f>D113/'Top 10 Hard'!$J$2</f>
        <v>3.97661641341662E-3</v>
      </c>
      <c r="F113" s="31">
        <f>IF(NOT(ISNUMBER(F112)),0,F112)+Table1[[#This Row],[Points]]/'Top 10 Hard'!$J$2</f>
        <v>0.75161702208239511</v>
      </c>
      <c r="G113" s="52" t="s">
        <v>513</v>
      </c>
      <c r="H113" s="63" t="str">
        <f>IF(VLOOKUP($G113,List!$A:$O,15,FALSE)=0,"",VLOOKUP($G113,List!$A:$O,15,FALSE))</f>
        <v>Y</v>
      </c>
      <c r="I113" s="47" t="str">
        <f>VLOOKUP($G113,List!$A:$U,2,FALSE)</f>
        <v>As Lippe, own all of the British Isles.</v>
      </c>
      <c r="J113" s="55">
        <f>VLOOKUP($G113,List!$A:$U,3,FALSE)</f>
        <v>6.0000000000000001E-3</v>
      </c>
      <c r="K113" s="6" t="str">
        <f>VLOOKUP($G113,List!$A:$U,4,FALSE)</f>
        <v>H</v>
      </c>
      <c r="L113" s="50">
        <f>VLOOKUP($G113,List!$A:$U,5,FALSE)</f>
        <v>147</v>
      </c>
      <c r="M113" s="47" t="str">
        <f>VLOOKUP($G113,List!$A:$U,17,FALSE)</f>
        <v>*Not* using a random New World</v>
      </c>
      <c r="N113" s="50" t="s">
        <v>1823</v>
      </c>
      <c r="O113" s="49" t="str">
        <f>VLOOKUP($G113,List!$A:$U,18,FALSE)</f>
        <v>- Is Lippe
- Own all provinces in Britain
Britain region</v>
      </c>
      <c r="P113" s="43" t="str">
        <f>VLOOKUP($G113,List!$A:$U,19,FALSE)</f>
        <v>Lippe doesn't exist in 1444, but it can be released from its core province 
Ravensberg (4775) which is owned by Berg. By first releasing Lippe as a 
regular vassal, giving them provinces to core and annexing them gives more 
land when releasing them again. 
Can be done as part of a HRE campaign. Ensure Lippe exists before you pass 
"Revoke the Privilegia". Feed all of Britain's cores to your Lippe vassal 
and then either annex Lippe or pass the final reform "Renovatio Imperii", 
then release and play as Lippe, earning you the achievement.</v>
      </c>
    </row>
    <row r="114" spans="1:16" ht="30" customHeight="1" x14ac:dyDescent="0.25">
      <c r="A114" s="39" t="s">
        <v>1982</v>
      </c>
      <c r="B114" s="60" t="s">
        <v>1701</v>
      </c>
      <c r="C114" s="4" t="s">
        <v>434</v>
      </c>
      <c r="D114" s="27">
        <f t="shared" si="3"/>
        <v>220.25</v>
      </c>
      <c r="E114" s="31">
        <f>D114/'Top 10 Hard'!$J$2</f>
        <v>5.9581616670408887E-3</v>
      </c>
      <c r="F114" s="31">
        <f>IF(NOT(ISNUMBER(F113)),0,F113)+Table1[[#This Row],[Points]]/'Top 10 Hard'!$J$2</f>
        <v>0.75361209324218748</v>
      </c>
      <c r="G114" s="51" t="s">
        <v>428</v>
      </c>
      <c r="H114" s="64" t="str">
        <f>IF(VLOOKUP($G114,List!$A:$O,15,FALSE)=0,"",VLOOKUP($G114,List!$A:$O,15,FALSE))</f>
        <v/>
      </c>
      <c r="I114" s="42" t="str">
        <f>VLOOKUP($G114,List!$A:$U,2,FALSE)</f>
        <v>Starting as Venice, become the Economic Hegemon.</v>
      </c>
      <c r="J114" s="54">
        <f>VLOOKUP($G114,List!$A:$U,3,FALSE)</f>
        <v>5.0000000000000001E-3</v>
      </c>
      <c r="K114" s="6" t="str">
        <f>VLOOKUP($G114,List!$A:$U,4,FALSE)</f>
        <v>M</v>
      </c>
      <c r="L114" s="44">
        <f>VLOOKUP($G114,List!$A:$U,5,FALSE)</f>
        <v>73.75</v>
      </c>
      <c r="M114" s="42" t="str">
        <f>VLOOKUP($G114,List!$A:$U,17,FALSE)</f>
        <v>- Is Venice</v>
      </c>
      <c r="N114" s="44" t="s">
        <v>1823</v>
      </c>
      <c r="O114" s="43" t="str">
        <f>VLOOKUP($G114,List!$A:$U,18,FALSE)</f>
        <v>- Is Economic Hegemon</v>
      </c>
      <c r="P114" s="43">
        <f>VLOOKUP($G114,List!$A:$U,19,FALSE)</f>
        <v>0</v>
      </c>
    </row>
    <row r="115" spans="1:16" ht="30" customHeight="1" x14ac:dyDescent="0.25">
      <c r="A115" s="39" t="s">
        <v>1982</v>
      </c>
      <c r="B115" s="60" t="s">
        <v>1701</v>
      </c>
      <c r="C115" s="4" t="s">
        <v>434</v>
      </c>
      <c r="D115" s="27">
        <f t="shared" si="3"/>
        <v>220.25</v>
      </c>
      <c r="E115" s="31">
        <f>D115/'Top 10 Hard'!$J$2</f>
        <v>5.9581616670408887E-3</v>
      </c>
      <c r="F115" s="31">
        <f>IF(NOT(ISNUMBER(F114)),0,F114)+Table1[[#This Row],[Points]]/'Top 10 Hard'!$J$2</f>
        <v>0.757575183749436</v>
      </c>
      <c r="G115" s="51" t="s">
        <v>437</v>
      </c>
      <c r="H115" s="64" t="str">
        <f>IF(VLOOKUP($G115,List!$A:$O,15,FALSE)=0,"",VLOOKUP($G115,List!$A:$O,15,FALSE))</f>
        <v/>
      </c>
      <c r="I115" s="42" t="str">
        <f>VLOOKUP($G115,List!$A:$U,2,FALSE)</f>
        <v>Force a nation to revoke 5 cores in one peace deal as Corfu.</v>
      </c>
      <c r="J115" s="54">
        <f>VLOOKUP($G115,List!$A:$U,3,FALSE)</f>
        <v>7.0000000000000001E-3</v>
      </c>
      <c r="K115" s="6" t="str">
        <f>VLOOKUP($G115,List!$A:$U,4,FALSE)</f>
        <v>H</v>
      </c>
      <c r="L115" s="44">
        <f>VLOOKUP($G115,List!$A:$U,5,FALSE)</f>
        <v>146.5</v>
      </c>
      <c r="M115" s="42">
        <f>VLOOKUP($G115,List!$A:$U,17,FALSE)</f>
        <v>0</v>
      </c>
      <c r="N115" s="44" t="s">
        <v>1823</v>
      </c>
      <c r="O115" s="43" t="str">
        <f>VLOOKUP($G115,List!$A:$U,18,FALSE)</f>
        <v>- Is Corfu
- Forced a country to revoke 5 cores in one peace deal</v>
      </c>
      <c r="P115" s="43" t="str">
        <f>VLOOKUP($G115,List!$A:$U,19,FALSE)</f>
        <v>Although this achievement can theoretically be started as any nation due to 
Corfu being a releasable nation, the cores need to be revoked while you are 
Corfu. Forcing a nation to revoke cores as another nation, then releasing 
Corfu will not count.</v>
      </c>
    </row>
    <row r="116" spans="1:16" ht="30" customHeight="1" x14ac:dyDescent="0.25">
      <c r="A116" s="45" t="s">
        <v>1983</v>
      </c>
      <c r="B116" s="59" t="s">
        <v>2013</v>
      </c>
      <c r="C116" s="6" t="s">
        <v>242</v>
      </c>
      <c r="D116" s="27">
        <f t="shared" si="3"/>
        <v>72</v>
      </c>
      <c r="E116" s="31">
        <f>D116/'Top 10 Hard'!$J$2</f>
        <v>1.9477304882040589E-3</v>
      </c>
      <c r="F116" s="31">
        <f>IF(NOT(ISNUMBER(F115)),0,F115)+Table1[[#This Row],[Points]]/'Top 10 Hard'!$J$2</f>
        <v>0.75952291423764007</v>
      </c>
      <c r="G116" s="52" t="s">
        <v>287</v>
      </c>
      <c r="H116" s="63" t="str">
        <f>IF(VLOOKUP($G116,List!$A:$O,15,FALSE)=0,"",VLOOKUP($G116,List!$A:$O,15,FALSE))</f>
        <v/>
      </c>
      <c r="I116" s="47" t="str">
        <f>VLOOKUP($G116,List!$A:$U,2,FALSE)</f>
        <v>As a Somali nation, fully own the Horn of Africa region and have a monthly 
gold income of at least 10 ducats.</v>
      </c>
      <c r="J116" s="55">
        <f>VLOOKUP($G116,List!$A:$U,3,FALSE)</f>
        <v>1.2E-2</v>
      </c>
      <c r="K116" s="6" t="str">
        <f>VLOOKUP($G116,List!$A:$U,4,FALSE)</f>
        <v>M</v>
      </c>
      <c r="L116" s="50">
        <f>VLOOKUP($G116,List!$A:$U,5,FALSE)</f>
        <v>72</v>
      </c>
      <c r="M116" s="47" t="str">
        <f>VLOOKUP($G116,List!$A:$U,17,FALSE)</f>
        <v>Culture is *Somali*</v>
      </c>
      <c r="N116" s="50" t="s">
        <v>1823</v>
      </c>
      <c r="O116" s="49" t="str">
        <f>VLOOKUP($G116,List!$A:$U,18,FALSE)</f>
        <v>- All provinces of the Horn of Africa region are owned by the player's 
country *or* its non-tributary subjects.
- Have 10 income from gold</v>
      </c>
      <c r="P116" s="49" t="str">
        <f>VLOOKUP($G116,List!$A:$U,19,FALSE)</f>
        <v>- Note that the provinces of Fazughli, Afder and Ogaden have to be 
colonized for the achievement, but the colonies do not need to be complete. 
You can just send your colonist to all 3 provinces at once as soon as you 
have the other land.
- Start as Adal or Ajuuraan, and set the National Focus to 
administrative, then swiftly conquer all adjacent nations in the region 
that are smaller than you. Aggressive Expansion will not be an issue due 
to the nations belonging to different religious groups. To attain the gold 
income, improve production development in the gold provinces Kaffa (2757) 
and Damot (2762).
- Convert the religion in the gold provinces to your state religion, 
which will increase your gold income, requiring less development.</v>
      </c>
    </row>
    <row r="117" spans="1:16" ht="30" customHeight="1" x14ac:dyDescent="0.25">
      <c r="A117" s="39" t="s">
        <v>1984</v>
      </c>
      <c r="B117" s="60" t="s">
        <v>2014</v>
      </c>
      <c r="C117" s="4" t="s">
        <v>242</v>
      </c>
      <c r="D117" s="27">
        <f t="shared" si="3"/>
        <v>66.25</v>
      </c>
      <c r="E117" s="31">
        <f>D117/'Top 10 Hard'!$J$2</f>
        <v>1.7921825672710958E-3</v>
      </c>
      <c r="F117" s="31">
        <f>IF(NOT(ISNUMBER(F116)),0,F116)+Table1[[#This Row],[Points]]/'Top 10 Hard'!$J$2</f>
        <v>0.76131509680491116</v>
      </c>
      <c r="G117" s="51" t="s">
        <v>259</v>
      </c>
      <c r="H117" s="64" t="str">
        <f>IF(VLOOKUP($G117,List!$A:$O,15,FALSE)=0,"",VLOOKUP($G117,List!$A:$O,15,FALSE))</f>
        <v/>
      </c>
      <c r="I117" s="42" t="str">
        <f>VLOOKUP($G117,List!$A:$U,2,FALSE)</f>
        <v>Starting as Vijayanagar or Bahmanis conquer the other’s capital and have 
them not exist.</v>
      </c>
      <c r="J117" s="54">
        <f>VLOOKUP($G117,List!$A:$U,3,FALSE)</f>
        <v>3.5000000000000003E-2</v>
      </c>
      <c r="K117" s="6" t="str">
        <f>VLOOKUP($G117,List!$A:$U,4,FALSE)</f>
        <v>M</v>
      </c>
      <c r="L117" s="44">
        <f>VLOOKUP($G117,List!$A:$U,5,FALSE)</f>
        <v>66.25</v>
      </c>
      <c r="M117" s="42" t="str">
        <f>VLOOKUP($G117,List!$A:$U,17,FALSE)</f>
        <v>Playing as *either*: 
- Bahmanis
- Vijayanagar</v>
      </c>
      <c r="N117" s="44" t="s">
        <v>1823</v>
      </c>
      <c r="O117" s="43" t="str">
        <f>VLOOKUP($G117,List!$A:$U,18,FALSE)</f>
        <v>- Own and core the provinces Bidar (1948) and Vijayanagar (541)
- Is *either*: 
- Bahmanis and Vijayanagar doesn't exist
- Vijayanagar and Bahmanis doesn't exist</v>
      </c>
      <c r="P117" s="43">
        <f>VLOOKUP($G117,List!$A:$U,19,FALSE)</f>
        <v>0</v>
      </c>
    </row>
    <row r="118" spans="1:16" ht="30" customHeight="1" x14ac:dyDescent="0.25">
      <c r="A118" s="45" t="s">
        <v>1985</v>
      </c>
      <c r="B118" s="59" t="s">
        <v>1728</v>
      </c>
      <c r="C118" s="6" t="s">
        <v>242</v>
      </c>
      <c r="D118" s="27">
        <f t="shared" si="3"/>
        <v>74</v>
      </c>
      <c r="E118" s="31">
        <f>D118/'Top 10 Hard'!$J$2</f>
        <v>2.0018341128763936E-3</v>
      </c>
      <c r="F118" s="31">
        <f>IF(NOT(ISNUMBER(F117)),0,F117)+Table1[[#This Row],[Points]]/'Top 10 Hard'!$J$2</f>
        <v>0.76331693091778752</v>
      </c>
      <c r="G118" s="52" t="s">
        <v>413</v>
      </c>
      <c r="H118" s="63" t="str">
        <f>IF(VLOOKUP($G118,List!$A:$O,15,FALSE)=0,"",VLOOKUP($G118,List!$A:$O,15,FALSE))</f>
        <v/>
      </c>
      <c r="I118" s="47" t="str">
        <f>VLOOKUP($G118,List!$A:$U,2,FALSE)</f>
        <v>As Japan have the Land of the Christian Sun reform while Palestine and 
Cairo are Christian under us.</v>
      </c>
      <c r="J118" s="55">
        <f>VLOOKUP($G118,List!$A:$U,3,FALSE)</f>
        <v>4.0000000000000001E-3</v>
      </c>
      <c r="K118" s="6" t="str">
        <f>VLOOKUP($G118,List!$A:$U,4,FALSE)</f>
        <v>M</v>
      </c>
      <c r="L118" s="50">
        <f>VLOOKUP($G118,List!$A:$U,5,FALSE)</f>
        <v>74</v>
      </c>
      <c r="M118" s="47">
        <f>VLOOKUP($G118,List!$A:$U,17,FALSE)</f>
        <v>0</v>
      </c>
      <c r="N118" s="50" t="s">
        <v>1823</v>
      </c>
      <c r="O118" s="49" t="str">
        <f>VLOOKUP($G118,List!$A:$U,18,FALSE)</f>
        <v>- Is Japan
- Has enacted the Land of the Christian Sun government reform
- The Palestine area and the province Cairo (361) have a Christian 
religion and are owned by this country</v>
      </c>
      <c r="P118" s="49" t="str">
        <f>VLOOKUP($G118,List!$A:$U,19,FALSE)</f>
        <v>To get the Land of the Christian Sun government reform, it is mandatory to 
get the open outcome in the incident Spread of Christianity.</v>
      </c>
    </row>
    <row r="119" spans="1:16" ht="30" customHeight="1" x14ac:dyDescent="0.25">
      <c r="A119" s="39" t="s">
        <v>1986</v>
      </c>
      <c r="B119" s="60" t="s">
        <v>2015</v>
      </c>
      <c r="C119" s="4" t="s">
        <v>434</v>
      </c>
      <c r="D119" s="27">
        <f t="shared" si="3"/>
        <v>146</v>
      </c>
      <c r="E119" s="31">
        <f>D119/'Top 10 Hard'!$J$2</f>
        <v>3.9495646010804528E-3</v>
      </c>
      <c r="F119" s="31">
        <f>IF(NOT(ISNUMBER(F118)),0,F118)+Table1[[#This Row],[Points]]/'Top 10 Hard'!$J$2</f>
        <v>0.76726649551886794</v>
      </c>
      <c r="G119" s="51" t="s">
        <v>443</v>
      </c>
      <c r="H119" s="64" t="str">
        <f>IF(VLOOKUP($G119,List!$A:$O,15,FALSE)=0,"",VLOOKUP($G119,List!$A:$O,15,FALSE))</f>
        <v/>
      </c>
      <c r="I119" s="42" t="str">
        <f>VLOOKUP($G119,List!$A:$U,2,FALSE)</f>
        <v>As a Nubian culture nation, own or have a non-Tributary subject own the 
entire Egyptian region.</v>
      </c>
      <c r="J119" s="54">
        <f>VLOOKUP($G119,List!$A:$U,3,FALSE)</f>
        <v>8.0000000000000002E-3</v>
      </c>
      <c r="K119" s="6" t="str">
        <f>VLOOKUP($G119,List!$A:$U,4,FALSE)</f>
        <v>H</v>
      </c>
      <c r="L119" s="44">
        <f>VLOOKUP($G119,List!$A:$U,5,FALSE)</f>
        <v>146</v>
      </c>
      <c r="M119" s="42" t="str">
        <f>VLOOKUP($G119,List!$A:$U,17,FALSE)</f>
        <v>Primary culture is *Nubian*</v>
      </c>
      <c r="N119" s="44" t="s">
        <v>1823</v>
      </c>
      <c r="O119" s="43" t="str">
        <f>VLOOKUP($G119,List!$A:$U,18,FALSE)</f>
        <v>All provinces in the Egypt region are owned by the player's country *or* 
its non-tributary subjects.</v>
      </c>
      <c r="P119" s="43" t="str">
        <f>VLOOKUP($G119,List!$A:$U,19,FALSE)</f>
        <v>Possible starts are Dongola, Alodia, and Makuria.</v>
      </c>
    </row>
    <row r="120" spans="1:16" ht="30" customHeight="1" x14ac:dyDescent="0.25">
      <c r="A120" s="45" t="s">
        <v>1987</v>
      </c>
      <c r="B120" s="59" t="s">
        <v>1661</v>
      </c>
      <c r="C120" s="6" t="s">
        <v>242</v>
      </c>
      <c r="D120" s="27">
        <f t="shared" si="3"/>
        <v>72.5</v>
      </c>
      <c r="E120" s="31">
        <f>D120/'Top 10 Hard'!$J$2</f>
        <v>1.9612563943721428E-3</v>
      </c>
      <c r="F120" s="31">
        <f>IF(NOT(ISNUMBER(F119)),0,F119)+Table1[[#This Row],[Points]]/'Top 10 Hard'!$J$2</f>
        <v>0.76922775191324011</v>
      </c>
      <c r="G120" s="52" t="s">
        <v>346</v>
      </c>
      <c r="H120" s="63" t="str">
        <f>IF(VLOOKUP($G120,List!$A:$O,15,FALSE)=0,"",VLOOKUP($G120,List!$A:$O,15,FALSE))</f>
        <v>try2</v>
      </c>
      <c r="I120" s="47" t="str">
        <f>VLOOKUP($G120,List!$A:$U,2,FALSE)</f>
        <v>As Kazan or Nogai, own all Tatar culture group lands.</v>
      </c>
      <c r="J120" s="55">
        <f>VLOOKUP($G120,List!$A:$U,3,FALSE)</f>
        <v>0.01</v>
      </c>
      <c r="K120" s="6" t="str">
        <f>VLOOKUP($G120,List!$A:$U,4,FALSE)</f>
        <v>M</v>
      </c>
      <c r="L120" s="50">
        <f>VLOOKUP($G120,List!$A:$U,5,FALSE)</f>
        <v>72.5</v>
      </c>
      <c r="M120" s="47" t="str">
        <f>VLOOKUP($G120,List!$A:$U,17,FALSE)</f>
        <v>Playing as *either*: 
- Kazan
- Nogai</v>
      </c>
      <c r="N120" s="50" t="s">
        <v>1823</v>
      </c>
      <c r="O120" s="49" t="str">
        <f>VLOOKUP($G120,List!$A:$U,18,FALSE)</f>
        <v>- *Not* playing as a released vassal
- Is Kazan or Nogai
- No *Tatar* culture group province is owned by another country</v>
      </c>
      <c r="P120" s="49">
        <f>VLOOKUP($G120,List!$A:$U,19,FALSE)</f>
        <v>0</v>
      </c>
    </row>
    <row r="121" spans="1:16" ht="30" customHeight="1" x14ac:dyDescent="0.25">
      <c r="A121" s="39" t="s">
        <v>1988</v>
      </c>
      <c r="B121" s="60" t="s">
        <v>2016</v>
      </c>
      <c r="C121" s="4" t="s">
        <v>434</v>
      </c>
      <c r="D121" s="27">
        <f t="shared" si="3"/>
        <v>72.5</v>
      </c>
      <c r="E121" s="31">
        <f>D121/'Top 10 Hard'!$J$2</f>
        <v>1.9612563943721428E-3</v>
      </c>
      <c r="F121" s="31">
        <f>IF(NOT(ISNUMBER(F120)),0,F120)+Table1[[#This Row],[Points]]/'Top 10 Hard'!$J$2</f>
        <v>0.77118900830761228</v>
      </c>
      <c r="G121" s="51" t="s">
        <v>332</v>
      </c>
      <c r="H121" s="64" t="str">
        <f>IF(VLOOKUP($G121,List!$A:$O,15,FALSE)=0,"",VLOOKUP($G121,List!$A:$O,15,FALSE))</f>
        <v/>
      </c>
      <c r="I121" s="42" t="str">
        <f>VLOOKUP($G121,List!$A:$U,2,FALSE)</f>
        <v>Starting as a Zoroastrian custom nation with no more than 200 points and a 
maximum of 5 provinces, rekindle the royal fires.</v>
      </c>
      <c r="J121" s="54">
        <f>VLOOKUP($G121,List!$A:$U,3,FALSE)</f>
        <v>0.01</v>
      </c>
      <c r="K121" s="6" t="str">
        <f>VLOOKUP($G121,List!$A:$U,4,FALSE)</f>
        <v>M</v>
      </c>
      <c r="L121" s="44">
        <f>VLOOKUP($G121,List!$A:$U,5,FALSE)</f>
        <v>72.5</v>
      </c>
      <c r="M121" s="42" t="str">
        <f>VLOOKUP($G121,List!$A:$U,17,FALSE)</f>
        <v>- Playing as a custom nation
- Only 1 custom nation exists in the world
- Used no more than 201 nation designer points
- No more than 5 provinces
- Is Zoroastrian</v>
      </c>
      <c r="N121" s="44" t="s">
        <v>1822</v>
      </c>
      <c r="O121" s="43" t="str">
        <f>VLOOKUP($G121,List!$A:$U,18,FALSE)</f>
        <v>- *Not* playing as a released vassal
- Is Zoroastrian
- Has country modifier *Royal Fires*</v>
      </c>
      <c r="P121" s="43" t="str">
        <f>VLOOKUP($G121,List!$A:$U,19,FALSE)</f>
        <v>Note that this achievement cannot be combined with Keep the Flame Burning 
because it requires being a Custom Nation, which disallows earning Keep the 
Flame Burning.</v>
      </c>
    </row>
    <row r="122" spans="1:16" ht="30" customHeight="1" x14ac:dyDescent="0.25">
      <c r="A122" s="45" t="s">
        <v>1989</v>
      </c>
      <c r="B122" s="59" t="s">
        <v>2017</v>
      </c>
      <c r="C122" s="6" t="s">
        <v>242</v>
      </c>
      <c r="D122" s="27">
        <f t="shared" si="3"/>
        <v>72</v>
      </c>
      <c r="E122" s="31">
        <f>D122/'Top 10 Hard'!$J$2</f>
        <v>1.9477304882040589E-3</v>
      </c>
      <c r="F122" s="31">
        <f>IF(NOT(ISNUMBER(F121)),0,F121)+Table1[[#This Row],[Points]]/'Top 10 Hard'!$J$2</f>
        <v>0.77313673879581635</v>
      </c>
      <c r="G122" s="52" t="s">
        <v>289</v>
      </c>
      <c r="H122" s="63" t="str">
        <f>IF(VLOOKUP($G122,List!$A:$O,15,FALSE)=0,"",VLOOKUP($G122,List!$A:$O,15,FALSE))</f>
        <v/>
      </c>
      <c r="I122" s="47" t="str">
        <f>VLOOKUP($G122,List!$A:$U,2,FALSE)</f>
        <v>Restore the Great Moravian borders as Nitra or Moravia.</v>
      </c>
      <c r="J122" s="55">
        <f>VLOOKUP($G122,List!$A:$U,3,FALSE)</f>
        <v>1.2E-2</v>
      </c>
      <c r="K122" s="6" t="str">
        <f>VLOOKUP($G122,List!$A:$U,4,FALSE)</f>
        <v>M</v>
      </c>
      <c r="L122" s="50">
        <f>VLOOKUP($G122,List!$A:$U,5,FALSE)</f>
        <v>72</v>
      </c>
      <c r="M122" s="47">
        <f>VLOOKUP($G122,List!$A:$U,17,FALSE)</f>
        <v>0</v>
      </c>
      <c r="N122" s="50" t="s">
        <v>1823</v>
      </c>
      <c r="O122" s="49" t="str">
        <f>VLOOKUP($G122,List!$A:$U,18,FALSE)</f>
        <v>- Is Nitra, Moravia*or*Great Moravia
- Own and core the following provinces:</v>
      </c>
      <c r="P122" s="49" t="str">
        <f>VLOOKUP($G122,List!$A:$U,19,FALSE)</f>
        <v>Nitra's cores don't expire except by culture conversion. Requires all the 
territory of Bohemia, Glogow and Opole, Wien (134), Manhartsberg (1770), 
Traungau (4761) and Wienerwald (4762) from Austria, Kraków (262) and Nowy 
Sącz (2960) from Poland, and the Slovakia and Transdanubia areas from 
Hungary. 
If choosing to play as Moravia, you will incur much more agresssive 
expansion and find it harder to make alliances due to being a heretic 
nation (Hussite) if you release them on day 1. There are advantages to 
starting in the empire though, so you may find it useful to convert some of 
Moravia's cores to Catholic before switching to them. 
Since this achievement demands the release of a nation it doesn't have the 
"started as" protection. In return the easiest way to achieve this is to 
play Hungary or Austria, get all the lands, release Nitra and grant it all 
provinces. Reabsorb it once possible and release to play as. The deed will 
be done. This works for any of the create or release achievements and turns 
these deeds trivial. 
Since Winds of change, this achievement is doable simply by forming Greater 
Moravia, which can be done by Bohemia.</v>
      </c>
    </row>
    <row r="123" spans="1:16" ht="30" customHeight="1" x14ac:dyDescent="0.25">
      <c r="A123" s="39" t="s">
        <v>1990</v>
      </c>
      <c r="B123" s="60" t="s">
        <v>2018</v>
      </c>
      <c r="C123" s="4" t="s">
        <v>242</v>
      </c>
      <c r="D123" s="27">
        <f t="shared" si="3"/>
        <v>72.25</v>
      </c>
      <c r="E123" s="31">
        <f>D123/'Top 10 Hard'!$J$2</f>
        <v>1.9544934412881005E-3</v>
      </c>
      <c r="F123" s="31">
        <f>IF(NOT(ISNUMBER(F122)),0,F122)+Table1[[#This Row],[Points]]/'Top 10 Hard'!$J$2</f>
        <v>0.77509123223710441</v>
      </c>
      <c r="G123" s="51" t="s">
        <v>258</v>
      </c>
      <c r="H123" s="64" t="str">
        <f>IF(VLOOKUP($G123,List!$A:$O,15,FALSE)=0,"",VLOOKUP($G123,List!$A:$O,15,FALSE))</f>
        <v/>
      </c>
      <c r="I123" s="42" t="str">
        <f>VLOOKUP($G123,List!$A:$U,2,FALSE)</f>
        <v>As a colony, break free and vassalize your former overlord without forming 
any other nation.</v>
      </c>
      <c r="J123" s="54">
        <f>VLOOKUP($G123,List!$A:$U,3,FALSE)</f>
        <v>1.0999999999999999E-2</v>
      </c>
      <c r="K123" s="6" t="str">
        <f>VLOOKUP($G123,List!$A:$U,4,FALSE)</f>
        <v>M</v>
      </c>
      <c r="L123" s="44">
        <f>VLOOKUP($G123,List!$A:$U,5,FALSE)</f>
        <v>72.25</v>
      </c>
      <c r="M123" s="42">
        <f>VLOOKUP($G123,List!$A:$U,17,FALSE)</f>
        <v>0</v>
      </c>
      <c r="N123" s="44" t="s">
        <v>1823</v>
      </c>
      <c r="O123" s="43" t="str">
        <f>VLOOKUP($G123,List!$A:$U,18,FALSE)</f>
        <v>- Playing as a former colonial nation
- Vassalize the former owner of the colonial nation</v>
      </c>
      <c r="P123" s="43" t="str">
        <f>VLOOKUP($G123,List!$A:$U,19,FALSE)</f>
        <v>- Forming another country as the colonial nation *will* prevent this 
achievement even if that country is a colonial formable like USA or 
Australia.
- Easily done as Ternate. Colonize Australia to the point where a 
colonial nation forms. Release them and select 'Play As', then vassalize 
your former overlord.</v>
      </c>
    </row>
    <row r="124" spans="1:16" ht="30" customHeight="1" x14ac:dyDescent="0.25">
      <c r="A124" s="45" t="s">
        <v>1991</v>
      </c>
      <c r="B124" s="59" t="s">
        <v>2019</v>
      </c>
      <c r="C124" s="6" t="s">
        <v>242</v>
      </c>
      <c r="D124" s="27">
        <f t="shared" si="3"/>
        <v>73</v>
      </c>
      <c r="E124" s="31">
        <f>D124/'Top 10 Hard'!$J$2</f>
        <v>1.9747823005402264E-3</v>
      </c>
      <c r="F124" s="31">
        <f>IF(NOT(ISNUMBER(F123)),0,F123)+Table1[[#This Row],[Points]]/'Top 10 Hard'!$J$2</f>
        <v>0.77706601453764468</v>
      </c>
      <c r="G124" s="52" t="s">
        <v>380</v>
      </c>
      <c r="H124" s="63" t="str">
        <f>IF(VLOOKUP($G124,List!$A:$O,15,FALSE)=0,"",VLOOKUP($G124,List!$A:$O,15,FALSE))</f>
        <v/>
      </c>
      <c r="I124" s="47" t="str">
        <f>VLOOKUP($G124,List!$A:$U,2,FALSE)</f>
        <v>As Busoga, Buganda or Karagwe, reach administrative, diplomatic and 
military technology level 32.</v>
      </c>
      <c r="J124" s="55">
        <f>VLOOKUP($G124,List!$A:$U,3,FALSE)</f>
        <v>8.0000000000000002E-3</v>
      </c>
      <c r="K124" s="6" t="str">
        <f>VLOOKUP($G124,List!$A:$U,4,FALSE)</f>
        <v>M</v>
      </c>
      <c r="L124" s="50">
        <f>VLOOKUP($G124,List!$A:$U,5,FALSE)</f>
        <v>73</v>
      </c>
      <c r="M124" s="47" t="str">
        <f>VLOOKUP($G124,List!$A:$U,17,FALSE)</f>
        <v>Playing as *either*: 
- Buganda
- Busoga
- Karagwe</v>
      </c>
      <c r="N124" s="50" t="s">
        <v>1823</v>
      </c>
      <c r="O124" s="49" t="str">
        <f>VLOOKUP($G124,List!$A:$U,18,FALSE)</f>
        <v>- Administration technology is *32*
- Diplomatic technology is *32*
- Military technology is *32*</v>
      </c>
      <c r="P124" s="49" t="str">
        <f>VLOOKUP($G124,List!$A:$U,19,FALSE)</f>
        <v>Most easily accomplished by manually spawning Renaissance, Colonialism and 
Printing Press, and not expanding too much. To get the other institutions, 
build manufactories and universities. Researching level 32 loses the 
ahead-of-time penalty in 1820.</v>
      </c>
    </row>
    <row r="125" spans="1:16" ht="30" customHeight="1" x14ac:dyDescent="0.25">
      <c r="A125" s="39" t="s">
        <v>1992</v>
      </c>
      <c r="B125" s="60" t="s">
        <v>2020</v>
      </c>
      <c r="C125" s="6" t="s">
        <v>242</v>
      </c>
      <c r="D125" s="27">
        <f t="shared" si="3"/>
        <v>73.5</v>
      </c>
      <c r="E125" s="31">
        <f>D125/'Top 10 Hard'!$J$2</f>
        <v>1.98830820670831E-3</v>
      </c>
      <c r="F125" s="31">
        <f>IF(NOT(ISNUMBER(F124)),0,F124)+Table1[[#This Row],[Points]]/'Top 10 Hard'!$J$2</f>
        <v>0.77905432274435293</v>
      </c>
      <c r="G125" s="51" t="s">
        <v>412</v>
      </c>
      <c r="H125" s="64" t="str">
        <f>IF(VLOOKUP($G125,List!$A:$O,15,FALSE)=0,"",VLOOKUP($G125,List!$A:$O,15,FALSE))</f>
        <v>Y</v>
      </c>
      <c r="I125" s="42" t="str">
        <f>VLOOKUP($G125,List!$A:$U,2,FALSE)</f>
        <v>As the Madyas, own and have cores on Tepeacac, Mexico, Tullucan and 
Huastec.</v>
      </c>
      <c r="J125" s="54">
        <f>VLOOKUP($G125,List!$A:$U,3,FALSE)</f>
        <v>6.0000000000000001E-3</v>
      </c>
      <c r="K125" s="6" t="str">
        <f>VLOOKUP($G125,List!$A:$U,4,FALSE)</f>
        <v>M</v>
      </c>
      <c r="L125" s="44">
        <f>VLOOKUP($G125,List!$A:$U,5,FALSE)</f>
        <v>73.5</v>
      </c>
      <c r="M125" s="42">
        <f>VLOOKUP($G125,List!$A:$U,17,FALSE)</f>
        <v>0</v>
      </c>
      <c r="N125" s="44" t="s">
        <v>1823</v>
      </c>
      <c r="O125" s="43" t="str">
        <f>VLOOKUP($G125,List!$A:$U,18,FALSE)</f>
        <v>- Is Madyas
- Own and core the provinces of Tepeacac (2628), Mexico (852), Tullucan 
(2626) and Tlapacoyan(853, formerly called Huastec).</v>
      </c>
      <c r="P125" s="49" t="str">
        <f>VLOOKUP($G125,List!$A:$U,19,FALSE)</f>
        <v>You need to directly own and core the target provinces, and not through 
your colonial nation. There are several ways to achieve this: 
Move your capital city to North America before a colonial nation forms. 
Get a colonial nation in one of the colonial regions adjacent to Mexico and 
grant them a chain of colonized or conquered provinces in Mexico up to the 
achievement provinces with the help of the grant province subject 
interaction(or by transferring occupations in a war if they are on the same 
continent as the capital of the CN). The achievement provinces can be cored 
as soon as the colonial nation has cored a province next to them. 
Vassalize a native, take land from some other native including the needed 
ones and a chain of provinces leading to the coast. Core one coastal 
province to be able to start coring the 4 achievement provinces. To avoid 
forming a colonial nation, the cored coastal province then has to be given 
to the vassal. 
Use the Unrestricted Conquest age ability from the Age of Revolutions. 
Simply annexing a vassal in the region won't fire the achievement.</v>
      </c>
    </row>
    <row r="126" spans="1:16" ht="30" customHeight="1" x14ac:dyDescent="0.25">
      <c r="A126" s="45" t="s">
        <v>1993</v>
      </c>
      <c r="B126" s="59" t="s">
        <v>2022</v>
      </c>
      <c r="C126" s="6" t="s">
        <v>242</v>
      </c>
      <c r="D126" s="27">
        <f t="shared" si="3"/>
        <v>74</v>
      </c>
      <c r="E126" s="31">
        <f>D126/'Top 10 Hard'!$J$2</f>
        <v>2.0018341128763936E-3</v>
      </c>
      <c r="F126" s="31">
        <f>IF(NOT(ISNUMBER(F125)),0,F125)+Table1[[#This Row],[Points]]/'Top 10 Hard'!$J$2</f>
        <v>0.78105615685722929</v>
      </c>
      <c r="G126" s="52" t="s">
        <v>383</v>
      </c>
      <c r="H126" s="63" t="str">
        <f>IF(VLOOKUP($G126,List!$A:$O,15,FALSE)=0,"",VLOOKUP($G126,List!$A:$O,15,FALSE))</f>
        <v>Y</v>
      </c>
      <c r="I126" s="47" t="str">
        <f>VLOOKUP($G126,List!$A:$U,2,FALSE)</f>
        <v>As a Malagasy country, unite Madagascar and hold all the most southern 
provinces of the world.</v>
      </c>
      <c r="J126" s="55">
        <f>VLOOKUP($G126,List!$A:$U,3,FALSE)</f>
        <v>4.0000000000000001E-3</v>
      </c>
      <c r="K126" s="6" t="str">
        <f>VLOOKUP($G126,List!$A:$U,4,FALSE)</f>
        <v>M</v>
      </c>
      <c r="L126" s="50">
        <f>VLOOKUP($G126,List!$A:$U,5,FALSE)</f>
        <v>74</v>
      </c>
      <c r="M126" s="47" t="str">
        <f>VLOOKUP($G126,List!$A:$U,17,FALSE)</f>
        <v>*Not* using a random New World
Playing as one of the following countries: 
- Sakalava
- Betsimisaraka
- Imerina
- Mahafaly
- Antemoro</v>
      </c>
      <c r="N126" s="50" t="s">
        <v>1823</v>
      </c>
      <c r="O126" s="49" t="str">
        <f>VLOOKUP($G126,List!$A:$U,18,FALSE)</f>
        <v>Is one of the following countries: 
- Sakalava
- Betsimisaraka
- Imerina
- Mahafaly
- Antemoro
Own and core all provinces in the following areas: 
- Madagascar Highlands
- Betsimasaraka
- Sakalava
- Southern Madagascar
Own or have a non-tributary subject own all the following provinces: 
- Cape (1177)
- Swellendam (1179)
- Algoa Bay (833)
- Xhosa (1180)
- Wadjuk (1084)
- Minang (2727)
- Nukunu (2736)
- Kaurna (1086)
- Gunditjmara (2735)
- Wurundjeri (1087)
- Yuin (2734)
- Peerapper (4869)
- Pyemmairrener (4868)
- Paredarerme (1085)
- Tharawal (4858)
- Ata Whenua (1246)
- Timaru (1109)
- Kawesqar (783)
- Tierra del Fuego (782)
- Florida Blanca (2869)
- Falklands (1095)
- South Georgia (2025)
Map of the provinces:</v>
      </c>
      <c r="P126" s="49" t="str">
        <f>VLOOKUP($G126,List!$A:$U,19,FALSE)</f>
        <v>After taking over Madagascar befriend Kilwa to get Feudalism spreading. 
Take Exploration, then Expansion and colonize the provinces on the Cape of 
Good Hope. Afterwards focus your attention mostly on the Atlantic islands 
and South America to get the required provinces before Portugal does, only 
spreading east when waiting for colonies to finish for reach. Station 
troops in Australia after the colonial nation forms, otherwise the natives 
will attack. 
This achievement is only visible if the Origins DLC is active, but no DLC 
is needed to complete it.</v>
      </c>
    </row>
    <row r="127" spans="1:16" ht="30" customHeight="1" x14ac:dyDescent="0.25">
      <c r="A127" s="39" t="s">
        <v>1994</v>
      </c>
      <c r="B127" s="60" t="s">
        <v>1903</v>
      </c>
      <c r="C127" s="4" t="s">
        <v>573</v>
      </c>
      <c r="D127" s="27">
        <f t="shared" si="3"/>
        <v>292</v>
      </c>
      <c r="E127" s="31">
        <f>D127/'Top 10 Hard'!$J$2</f>
        <v>7.8991292021609056E-3</v>
      </c>
      <c r="F127" s="31">
        <f>IF(NOT(ISNUMBER(F126)),0,F126)+Table1[[#This Row],[Points]]/'Top 10 Hard'!$J$2</f>
        <v>0.78895528605939025</v>
      </c>
      <c r="G127" s="51" t="s">
        <v>577</v>
      </c>
      <c r="H127" s="64" t="str">
        <f>IF(VLOOKUP($G127,List!$A:$O,15,FALSE)=0,"",VLOOKUP($G127,List!$A:$O,15,FALSE))</f>
        <v/>
      </c>
      <c r="I127" s="42" t="str">
        <f>VLOOKUP($G127,List!$A:$U,2,FALSE)</f>
        <v>As Athens, own 50 universities.</v>
      </c>
      <c r="J127" s="54">
        <f>VLOOKUP($G127,List!$A:$U,3,FALSE)</f>
        <v>8.0000000000000002E-3</v>
      </c>
      <c r="K127" s="4" t="str">
        <f>VLOOKUP($G127,List!$A:$U,4,FALSE)</f>
        <v>VH</v>
      </c>
      <c r="L127" s="44">
        <f>VLOOKUP($G127,List!$A:$U,5,FALSE)</f>
        <v>292</v>
      </c>
      <c r="M127" s="42" t="str">
        <f>VLOOKUP($G127,List!$A:$U,17,FALSE)</f>
        <v>Playing as Athens</v>
      </c>
      <c r="N127" s="44" t="s">
        <v>1823</v>
      </c>
      <c r="O127" s="43" t="str">
        <f>VLOOKUP($G127,List!$A:$U,18,FALSE)</f>
        <v>- *Not* playing as a released vassal
- Is Athens
- 50 owned provinces have Universities.</v>
      </c>
      <c r="P127" s="38">
        <f>VLOOKUP($G127,List!$A:$U,19,FALSE)</f>
        <v>0</v>
      </c>
    </row>
    <row r="128" spans="1:16" ht="30" customHeight="1" x14ac:dyDescent="0.25">
      <c r="A128" s="45" t="s">
        <v>1995</v>
      </c>
      <c r="B128" s="59" t="s">
        <v>1902</v>
      </c>
      <c r="C128" s="4" t="s">
        <v>573</v>
      </c>
      <c r="D128" s="27">
        <f t="shared" si="3"/>
        <v>292</v>
      </c>
      <c r="E128" s="31">
        <f>D128/'Top 10 Hard'!$J$2</f>
        <v>7.8991292021609056E-3</v>
      </c>
      <c r="F128" s="31">
        <f>IF(NOT(ISNUMBER(F127)),0,F127)+Table1[[#This Row],[Points]]/'Top 10 Hard'!$J$2</f>
        <v>0.79685441526155121</v>
      </c>
      <c r="G128" s="52" t="s">
        <v>602</v>
      </c>
      <c r="H128" s="63" t="str">
        <f>IF(VLOOKUP($G128,List!$A:$O,15,FALSE)=0,"",VLOOKUP($G128,List!$A:$O,15,FALSE))</f>
        <v/>
      </c>
      <c r="I128" s="47" t="str">
        <f>VLOOKUP($G128,List!$A:$U,2,FALSE)</f>
        <v>Conquer all of Germany as Nagaur.</v>
      </c>
      <c r="J128" s="55">
        <f>VLOOKUP($G128,List!$A:$U,3,FALSE)</f>
        <v>8.0000000000000002E-3</v>
      </c>
      <c r="K128" s="4" t="str">
        <f>VLOOKUP($G128,List!$A:$U,4,FALSE)</f>
        <v>VH</v>
      </c>
      <c r="L128" s="50">
        <f>VLOOKUP($G128,List!$A:$U,5,FALSE)</f>
        <v>292</v>
      </c>
      <c r="M128" s="47" t="str">
        <f>VLOOKUP($G128,List!$A:$U,17,FALSE)</f>
        <v>Playing as Nagaur</v>
      </c>
      <c r="N128" s="50" t="s">
        <v>1823</v>
      </c>
      <c r="O128" s="49" t="str">
        <f>VLOOKUP($G128,List!$A:$U,18,FALSE)</f>
        <v>- *Not* playing as a released vassal
- All provinces in North Germany and South Germany regions are owned by 
the player's country *or* its non-tributary subjects.</v>
      </c>
      <c r="P128" s="38" t="str">
        <f>VLOOKUP($G128,List!$A:$U,19,FALSE)</f>
        <v>One possible start is to quickly ally Jaunpur and then call them in against 
Delhi, who are weak at the start due to large disloyal vassal Sirhind. Take 
the provinces of Delhi, Sirhind, Lahore, and connecting provinces. You can 
then reform Delhi once they're wiped out, which will give you several 
hundred development of cores for free as well as a fairly strong idea set 
and mission tree. You can later culture-shift and form Mughals for an even 
stronger idea set and tree. Alternatively you can form Rajputana and maybe 
even Hindustan. With a strong power base, you are ready to expand northwest 
to Germany.</v>
      </c>
    </row>
    <row r="129" spans="1:16" ht="30" customHeight="1" x14ac:dyDescent="0.25">
      <c r="A129" s="39" t="s">
        <v>1996</v>
      </c>
      <c r="B129" s="60" t="s">
        <v>1906</v>
      </c>
      <c r="C129" s="4" t="s">
        <v>573</v>
      </c>
      <c r="D129" s="27">
        <f t="shared" si="3"/>
        <v>291</v>
      </c>
      <c r="E129" s="31">
        <f>D129/'Top 10 Hard'!$J$2</f>
        <v>7.8720773898247384E-3</v>
      </c>
      <c r="F129" s="31">
        <f>IF(NOT(ISNUMBER(F128)),0,F128)+Table1[[#This Row],[Points]]/'Top 10 Hard'!$J$2</f>
        <v>0.80472649265137597</v>
      </c>
      <c r="G129" s="51" t="s">
        <v>589</v>
      </c>
      <c r="H129" s="64" t="str">
        <f>IF(VLOOKUP($G129,List!$A:$O,15,FALSE)=0,"",VLOOKUP($G129,List!$A:$O,15,FALSE))</f>
        <v/>
      </c>
      <c r="I129" s="42" t="str">
        <f>VLOOKUP($G129,List!$A:$U,2,FALSE)</f>
        <v>Start as Theodoro and conquer all Germanic culture provinces in Europe.</v>
      </c>
      <c r="J129" s="54">
        <f>VLOOKUP($G129,List!$A:$U,3,FALSE)</f>
        <v>8.9999999999999993E-3</v>
      </c>
      <c r="K129" s="4" t="str">
        <f>VLOOKUP($G129,List!$A:$U,4,FALSE)</f>
        <v>VH</v>
      </c>
      <c r="L129" s="44">
        <f>VLOOKUP($G129,List!$A:$U,5,FALSE)</f>
        <v>291</v>
      </c>
      <c r="M129" s="42" t="str">
        <f>VLOOKUP($G129,List!$A:$U,17,FALSE)</f>
        <v>Playing as Theodoro</v>
      </c>
      <c r="N129" s="44" t="s">
        <v>1823</v>
      </c>
      <c r="O129" s="43" t="str">
        <f>VLOOKUP($G129,List!$A:$U,18,FALSE)</f>
        <v>- *Not* playing as a released vassal
- All provinces with *Germanic* culture group in Europe owned by Theodoro
- Culture is either: 
- *Gothic* from the Byzantine culture group
- *Gothic* from the Germanic culture group</v>
      </c>
      <c r="P129" s="48" t="str">
        <f>VLOOKUP($G129,List!$A:$U,19,FALSE)</f>
        <v>Forming other nations will make this achievement much more difficult, 
because then all *Germanic* cultured provinces in Europe have to be 
converted to another culture to fulfill the requirements. This does not 
apply if the formed country is a Former colonial nation formable and 
Theodoro still has provinces in the old world, because forming such a 
country as Theodoro keeps Theodoro alive so the achievement can still be 
fulfilled by feeding all *Germanic* provinces in Europe to Theodoro if they 
are later vassalized. Note though that playing as a released colonial 
nation doesn't work, because it counts as playing as a released vassal.</v>
      </c>
    </row>
    <row r="130" spans="1:16" ht="30" customHeight="1" x14ac:dyDescent="0.25">
      <c r="A130" s="45" t="s">
        <v>1997</v>
      </c>
      <c r="B130" s="59" t="s">
        <v>1867</v>
      </c>
      <c r="C130" s="6" t="str">
        <f>VLOOKUP($G130,List!$A:$U,4,FALSE)</f>
        <v>I</v>
      </c>
      <c r="D130" s="27">
        <f t="shared" ref="D130:D152" si="4">SUMIFS($L:$L,$A:$A,$A130)</f>
        <v>1092.75</v>
      </c>
      <c r="E130" s="31">
        <f>D130/'Top 10 Hard'!$J$2</f>
        <v>2.9560867930347019E-2</v>
      </c>
      <c r="F130" s="31">
        <f>IF(NOT(ISNUMBER(F129)),0,F129)+Table1[[#This Row],[Points]]/'Top 10 Hard'!$J$2</f>
        <v>0.82834272482085014</v>
      </c>
      <c r="G130" s="52" t="s">
        <v>631</v>
      </c>
      <c r="H130" s="63" t="str">
        <f>IF(VLOOKUP($G130,List!$A:$O,15,FALSE)=0,"",VLOOKUP($G130,List!$A:$O,15,FALSE))</f>
        <v/>
      </c>
      <c r="I130" s="47" t="str">
        <f>VLOOKUP($G130,List!$A:$U,2,FALSE)</f>
        <v>Starting as a Timurid subject, form the Mughals and conquer India by 1550.</v>
      </c>
      <c r="J130" s="55">
        <f>VLOOKUP($G130,List!$A:$U,3,FALSE)</f>
        <v>8.9999999999999993E-3</v>
      </c>
      <c r="K130" s="6" t="str">
        <f>VLOOKUP($G130,List!$A:$U,4,FALSE)</f>
        <v>I</v>
      </c>
      <c r="L130" s="50">
        <f>VLOOKUP($G130,List!$A:$U,5,FALSE)</f>
        <v>873</v>
      </c>
      <c r="M130" s="47" t="str">
        <f>VLOOKUP($G130,List!$A:$U,17,FALSE)</f>
        <v>- Playing as one of the following: 
- Afghanistan
- Sistan
- Transoxiana
- Khorasan
- Fars</v>
      </c>
      <c r="N130" s="50" t="s">
        <v>1823</v>
      </c>
      <c r="O130" s="49" t="str">
        <f>VLOOKUP($G130,List!$A:$U,18,FALSE)</f>
        <v>- Is Mughals
- The year is before 1550
- Every province in India superregion is owned by the country or a 
subject other than a tributary</v>
      </c>
      <c r="P130" s="49" t="str">
        <f>VLOOKUP($G130,List!$A:$U,19,FALSE)</f>
        <v>Easier in recent patches than when added. The strongest contenders are 
Afghanistan, which is the closest to India, and Transoxiana, which starts 
the strongest. Recommended ideas include Administrative for extremely cheap 
coring and Diplomatic to manage aggressive expansion and to truce break 
more easily if necessary.</v>
      </c>
    </row>
    <row r="131" spans="1:16" ht="30" customHeight="1" x14ac:dyDescent="0.25">
      <c r="A131" s="45" t="s">
        <v>1997</v>
      </c>
      <c r="B131" s="59" t="s">
        <v>1867</v>
      </c>
      <c r="C131" s="4" t="s">
        <v>626</v>
      </c>
      <c r="D131" s="27">
        <f t="shared" si="4"/>
        <v>1092.75</v>
      </c>
      <c r="E131" s="31">
        <f>D131/'Top 10 Hard'!$J$2</f>
        <v>2.9560867930347019E-2</v>
      </c>
      <c r="F131" s="31">
        <f>IF(NOT(ISNUMBER(F130)),0,F130)+Table1[[#This Row],[Points]]/'Top 10 Hard'!$J$2</f>
        <v>0.83235991895277106</v>
      </c>
      <c r="G131" s="52" t="s">
        <v>569</v>
      </c>
      <c r="H131" s="63" t="str">
        <f>IF(VLOOKUP($G131,List!$A:$O,15,FALSE)=0,"",VLOOKUP($G131,List!$A:$O,15,FALSE))</f>
        <v/>
      </c>
      <c r="I131" s="47" t="str">
        <f>VLOOKUP($G131,List!$A:$U,2,FALSE)</f>
        <v>As the Mughals, assimilate at least 12 culture groups.</v>
      </c>
      <c r="J131" s="55">
        <f>VLOOKUP($G131,List!$A:$U,3,FALSE)</f>
        <v>3.0000000000000001E-3</v>
      </c>
      <c r="K131" s="6" t="str">
        <f>VLOOKUP($G131,List!$A:$U,4,FALSE)</f>
        <v>H</v>
      </c>
      <c r="L131" s="50">
        <f>VLOOKUP($G131,List!$A:$U,5,FALSE)</f>
        <v>148.5</v>
      </c>
      <c r="M131" s="47">
        <f>VLOOKUP($G131,List!$A:$U,17,FALSE)</f>
        <v>0</v>
      </c>
      <c r="N131" s="50" t="s">
        <v>1823</v>
      </c>
      <c r="O131" s="49" t="str">
        <f>VLOOKUP($G131,List!$A:$U,18,FALSE)</f>
        <v>- Is Mughals
- Has enacted the Mughal Diwan government reform
- Has assimilated at least *12* culture groups</v>
      </c>
      <c r="P131" s="49">
        <f>VLOOKUP($G131,List!$A:$U,19,FALSE)</f>
        <v>0</v>
      </c>
    </row>
    <row r="132" spans="1:16" ht="30" customHeight="1" x14ac:dyDescent="0.25">
      <c r="A132" s="45" t="s">
        <v>1997</v>
      </c>
      <c r="B132" s="59" t="s">
        <v>1867</v>
      </c>
      <c r="C132" s="4" t="s">
        <v>626</v>
      </c>
      <c r="D132" s="27">
        <f t="shared" si="4"/>
        <v>1092.75</v>
      </c>
      <c r="E132" s="31">
        <f>D132/'Top 10 Hard'!$J$2</f>
        <v>2.9560867930347019E-2</v>
      </c>
      <c r="F132" s="31">
        <f>IF(NOT(ISNUMBER(F131)),0,F131)+Table1[[#This Row],[Points]]/'Top 10 Hard'!$J$2</f>
        <v>0.83428736058172304</v>
      </c>
      <c r="G132" s="52" t="s">
        <v>254</v>
      </c>
      <c r="H132" s="63" t="str">
        <f>IF(VLOOKUP($G132,List!$A:$O,15,FALSE)=0,"",VLOOKUP($G132,List!$A:$O,15,FALSE))</f>
        <v/>
      </c>
      <c r="I132" s="47" t="str">
        <f>VLOOKUP($G132,List!$A:$U,2,FALSE)</f>
        <v>As the Mughals assimilate Mongolian culture.</v>
      </c>
      <c r="J132" s="55">
        <f>VLOOKUP($G132,List!$A:$U,3,FALSE)</f>
        <v>1.4999999999999999E-2</v>
      </c>
      <c r="K132" s="6" t="str">
        <f>VLOOKUP($G132,List!$A:$U,4,FALSE)</f>
        <v>M</v>
      </c>
      <c r="L132" s="50">
        <f>VLOOKUP($G132,List!$A:$U,5,FALSE)</f>
        <v>71.25</v>
      </c>
      <c r="M132" s="47">
        <f>VLOOKUP($G132,List!$A:$U,17,FALSE)</f>
        <v>0</v>
      </c>
      <c r="N132" s="50" t="s">
        <v>1823</v>
      </c>
      <c r="O132" s="49" t="str">
        <f>VLOOKUP($G132,List!$A:$U,18,FALSE)</f>
        <v>- Is Mughals
- Has the Mughal Diwan government reform
- Have Mongol as accepted culture</v>
      </c>
      <c r="P132" s="49" t="str">
        <f>VLOOKUP($G132,List!$A:$U,19,FALSE)</f>
        <v>Easiest by starting as the Timurids. Forming the Mughals should not be a 
problem as long as you keep your vassals loyal and conquer Delhi. After 
that you should carve your way up to the Mongolian culture area. Fabricate 
claims along the way and conquer the provinces needed to reach that area. 
Usually you can start by declaring war on Uzbek, followed by Oirat. The 
factions controlling those provinces differ from campaign to campaign. In 
order to assimilate you need to conquer ALL Mongolian culture provinces. 
With the Winds of Change DLC mission tree, staying as Timurids is advise to 
use their bonuses and permanent claim on the mongol region.</v>
      </c>
    </row>
    <row r="133" spans="1:16" ht="30" customHeight="1" x14ac:dyDescent="0.25">
      <c r="A133" s="39" t="s">
        <v>1998</v>
      </c>
      <c r="B133" s="60" t="s">
        <v>1810</v>
      </c>
      <c r="C133" s="4" t="s">
        <v>105</v>
      </c>
      <c r="D133" s="27">
        <f t="shared" si="4"/>
        <v>29.7</v>
      </c>
      <c r="E133" s="31">
        <f>D133/'Top 10 Hard'!$J$2</f>
        <v>8.0343882638417427E-4</v>
      </c>
      <c r="F133" s="31">
        <f>IF(NOT(ISNUMBER(F132)),0,F132)+Table1[[#This Row],[Points]]/'Top 10 Hard'!$J$2</f>
        <v>0.83509079940810726</v>
      </c>
      <c r="G133" s="51" t="s">
        <v>239</v>
      </c>
      <c r="H133" s="64" t="str">
        <f>IF(VLOOKUP($G133,List!$A:$O,15,FALSE)=0,"",VLOOKUP($G133,List!$A:$O,15,FALSE))</f>
        <v/>
      </c>
      <c r="I133" s="42" t="str">
        <f>VLOOKUP($G133,List!$A:$U,2,FALSE)</f>
        <v>Starting as the Timurids, have 75 prestige, and 5 allies with 100 Trust 
and 150 opinion.</v>
      </c>
      <c r="J133" s="54">
        <f>VLOOKUP($G133,List!$A:$U,3,FALSE)</f>
        <v>3.0000000000000001E-3</v>
      </c>
      <c r="K133" s="4" t="str">
        <f>VLOOKUP($G133,List!$A:$U,4,FALSE)</f>
        <v>E</v>
      </c>
      <c r="L133" s="44">
        <f>VLOOKUP($G133,List!$A:$U,5,FALSE)</f>
        <v>29.7</v>
      </c>
      <c r="M133" s="42" t="str">
        <f>VLOOKUP($G133,List!$A:$U,17,FALSE)</f>
        <v>- Is Timurids</v>
      </c>
      <c r="N133" s="44" t="s">
        <v>1823</v>
      </c>
      <c r="O133" s="43" t="str">
        <f>VLOOKUP($G133,List!$A:$U,18,FALSE)</f>
        <v>- Prestige is at least *+75*
- Has at least 5 allies with 100 trust which have at least *+150* 
opinion of our country</v>
      </c>
      <c r="P133" s="38" t="str">
        <f>VLOOKUP($G133,List!$A:$U,19,FALSE)</f>
        <v>The allies which have the trust have to be the same allies which have the 
opinion 
Trust can be gained by honoring calls to arms or by using the *Influence 
nation* interaction as a great power, or with The Cossacks or Leviathan by 
trading favors for trust. If neither The Cossacks nor Leviathan are active, 
trust with allies grows slowly over time.</v>
      </c>
    </row>
    <row r="134" spans="1:16" ht="30" customHeight="1" x14ac:dyDescent="0.25">
      <c r="A134" s="45" t="s">
        <v>1999</v>
      </c>
      <c r="B134" s="59" t="s">
        <v>756</v>
      </c>
      <c r="C134" s="4" t="s">
        <v>573</v>
      </c>
      <c r="D134" s="27">
        <f t="shared" si="4"/>
        <v>298</v>
      </c>
      <c r="E134" s="31">
        <f>D134/'Top 10 Hard'!$J$2</f>
        <v>8.0614400761779108E-3</v>
      </c>
      <c r="F134" s="31">
        <f>IF(NOT(ISNUMBER(F133)),0,F133)+Table1[[#This Row],[Points]]/'Top 10 Hard'!$J$2</f>
        <v>0.84315223948428519</v>
      </c>
      <c r="G134" s="52" t="s">
        <v>621</v>
      </c>
      <c r="H134" s="63" t="str">
        <f>IF(VLOOKUP($G134,List!$A:$O,15,FALSE)=0,"",VLOOKUP($G134,List!$A:$O,15,FALSE))</f>
        <v/>
      </c>
      <c r="I134" s="47" t="str">
        <f>VLOOKUP($G134,List!$A:$U,2,FALSE)</f>
        <v>As Georgia, have as vassals Genoa, Aragon, England and Trier or their 
successors, and control Wales.</v>
      </c>
      <c r="J134" s="55">
        <f>VLOOKUP($G134,List!$A:$U,3,FALSE)</f>
        <v>2E-3</v>
      </c>
      <c r="K134" s="6" t="str">
        <f>VLOOKUP($G134,List!$A:$U,4,FALSE)</f>
        <v>VH</v>
      </c>
      <c r="L134" s="50">
        <f>VLOOKUP($G134,List!$A:$U,5,FALSE)</f>
        <v>298</v>
      </c>
      <c r="M134" s="47">
        <f>VLOOKUP($G134,List!$A:$U,17,FALSE)</f>
        <v>0</v>
      </c>
      <c r="N134" s="50" t="s">
        <v>1823</v>
      </c>
      <c r="O134" s="49" t="str">
        <f>VLOOKUP($G134,List!$A:$U,18,FALSE)</f>
        <v>- Is Georgia
- Has the following countries (or countries formed by them) as vassals:
- 
- Genoa
- Aragon
- England
- Trier
- All provinces in the Wales area: 
- Are owned by the country or its non-tributary subjects</v>
      </c>
      <c r="P134" s="43" t="str">
        <f>VLOOKUP($G134,List!$A:$U,19,FALSE)</f>
        <v>If one of the countries forms another country(e.g. England forms Great 
Britain), the new country can be vassalized to get the achievement. If one 
of the countries dies, care must be taken that the cores don't expire, 
especially for Trier which is not the primary tag of its culture.</v>
      </c>
    </row>
    <row r="135" spans="1:16" ht="30" customHeight="1" x14ac:dyDescent="0.25">
      <c r="A135" s="39" t="s">
        <v>2000</v>
      </c>
      <c r="B135" s="60" t="s">
        <v>1782</v>
      </c>
      <c r="C135" s="4" t="s">
        <v>573</v>
      </c>
      <c r="D135" s="27">
        <f t="shared" si="4"/>
        <v>296</v>
      </c>
      <c r="E135" s="31">
        <f>D135/'Top 10 Hard'!$J$2</f>
        <v>8.0073364515055746E-3</v>
      </c>
      <c r="F135" s="31">
        <f>IF(NOT(ISNUMBER(F134)),0,F134)+Table1[[#This Row],[Points]]/'Top 10 Hard'!$J$2</f>
        <v>0.85115957593579072</v>
      </c>
      <c r="G135" s="51" t="s">
        <v>574</v>
      </c>
      <c r="H135" s="64" t="str">
        <f>IF(VLOOKUP($G135,List!$A:$O,15,FALSE)=0,"",VLOOKUP($G135,List!$A:$O,15,FALSE))</f>
        <v/>
      </c>
      <c r="I135" s="42" t="str">
        <f>VLOOKUP($G135,List!$A:$U,2,FALSE)</f>
        <v>Have the most development while owning no province with terrain other than 
desert or coastal desert.</v>
      </c>
      <c r="J135" s="54">
        <f>VLOOKUP($G135,List!$A:$U,3,FALSE)</f>
        <v>4.0000000000000001E-3</v>
      </c>
      <c r="K135" s="4" t="str">
        <f>VLOOKUP($G135,List!$A:$U,4,FALSE)</f>
        <v>VH</v>
      </c>
      <c r="L135" s="44">
        <f>VLOOKUP($G135,List!$A:$U,5,FALSE)</f>
        <v>296</v>
      </c>
      <c r="M135" s="42" t="str">
        <f>VLOOKUP($G135,List!$A:$U,17,FALSE)</f>
        <v>*Not* using a random New World</v>
      </c>
      <c r="N135" s="44" t="s">
        <v>1823</v>
      </c>
      <c r="O135" s="43" t="str">
        <f>VLOOKUP($G135,List!$A:$U,18,FALSE)</f>
        <v>- All provinces are either desert or coastal desert
- No other country has a higher development than this country
All desert and coastal desert provinces</v>
      </c>
      <c r="P135" s="48" t="str">
        <f>VLOOKUP($G135,List!$A:$U,19,FALSE)</f>
        <v>Easiest as Ajuuraan or the Mamluks, because of their national ideas and the 
"Hydraulic Rights" estate privilege (which reduces the additional cost from 
developing deserts and coastal desert by half), that is unlocked through a 
mission in Origins DLC. Forming Arabia (possibly via Yemen to avoid the 
tech requirement) will unlock the similar "Oasis Development" privilege, 
which stacks with "Hydraulic Rights"</v>
      </c>
    </row>
    <row r="136" spans="1:16" ht="30" customHeight="1" x14ac:dyDescent="0.25">
      <c r="A136" s="45" t="s">
        <v>2001</v>
      </c>
      <c r="B136" s="59" t="s">
        <v>1885</v>
      </c>
      <c r="C136" s="4" t="s">
        <v>626</v>
      </c>
      <c r="D136" s="27">
        <f t="shared" si="4"/>
        <v>885</v>
      </c>
      <c r="E136" s="31">
        <f>D136/'Top 10 Hard'!$J$2</f>
        <v>2.3940853917508224E-2</v>
      </c>
      <c r="F136" s="31">
        <f>IF(NOT(ISNUMBER(F135)),0,F135)+Table1[[#This Row],[Points]]/'Top 10 Hard'!$J$2</f>
        <v>0.87510042985329894</v>
      </c>
      <c r="G136" s="52" t="s">
        <v>624</v>
      </c>
      <c r="H136" s="63" t="str">
        <f>IF(VLOOKUP($G136,List!$A:$O,15,FALSE)=0,"",VLOOKUP($G136,List!$A:$O,15,FALSE))</f>
        <v/>
      </c>
      <c r="I136" s="47" t="str">
        <f>VLOOKUP($G136,List!$A:$U,2,FALSE)</f>
        <v>Control all Grasslands in Asia as Kale before the age of Absolutism.</v>
      </c>
      <c r="J136" s="55">
        <f>VLOOKUP($G136,List!$A:$U,3,FALSE)</f>
        <v>5.0000000000000001E-3</v>
      </c>
      <c r="K136" s="4" t="str">
        <f>VLOOKUP($G136,List!$A:$U,4,FALSE)</f>
        <v>I</v>
      </c>
      <c r="L136" s="50">
        <f>VLOOKUP($G136,List!$A:$U,5,FALSE)</f>
        <v>885</v>
      </c>
      <c r="M136" s="47" t="str">
        <f>VLOOKUP($G136,List!$A:$U,17,FALSE)</f>
        <v>Playing as Kale</v>
      </c>
      <c r="N136" s="50" t="s">
        <v>1823</v>
      </c>
      <c r="O136" s="49" t="str">
        <f>VLOOKUP($G136,List!$A:$U,18,FALSE)</f>
        <v>- It is *not* the Age of Absolutism or the Age of Revolutions
- Every province in Asia with Grasslands terrain is owned by the 
player's country *or* its non-tributary subjects
All grassland provinces in Asia</v>
      </c>
      <c r="P136" s="48" t="str">
        <f>VLOOKUP($G136,List!$A:$U,19,FALSE)</f>
        <v>It is not required to keep playing as Kale to earn the achievement, but 
changing tag will hide it from the achievement tab. 
Start by subjugating and allying all Shan minors to complete the mission 
"Unite the Shan" to inherit them all and gain free cores (don't conquer any 
province from them as these would needlessly have to be cored; best to 
fully annex Ava and inherit all their tributaries). To limit AE and help 
with the endless conquests to come it is recommended you switch to horde 
government first, which is you should form Tibet and do the "Steppe 
Politics" mission. After choosing to invite one of the two Mongols switch 
culture back to Shan. Conquer enough of Indochina to form Siam for the 
ideas. 
Take Horde Ideas then Expansion then Diplomatic Ideas, don't delay 
colonizing Siberia. The colonies in the grassland provinces don't have to 
be finished, but you need to finish 3 colonies to reach the farthest 
province (2 if you conquer Onan Gol(1058) in Mongolia or Albazin (2102) in 
Manchuria instead of colonizing from the coast). 
The can be delayed by 30 years by ensuring that the highest valued trade 
node in the world contains no centers of trade at level 2 or higher, and no 
capital provinces.</v>
      </c>
    </row>
    <row r="137" spans="1:16" ht="30" customHeight="1" x14ac:dyDescent="0.25">
      <c r="A137" s="39" t="s">
        <v>2030</v>
      </c>
      <c r="B137" s="60" t="s">
        <v>1707</v>
      </c>
      <c r="C137" s="4" t="s">
        <v>573</v>
      </c>
      <c r="D137" s="27">
        <f t="shared" si="4"/>
        <v>583</v>
      </c>
      <c r="E137" s="31">
        <f>D137/'Top 10 Hard'!$J$2</f>
        <v>1.5771206591985644E-2</v>
      </c>
      <c r="F137" s="31">
        <f>IF(NOT(ISNUMBER(F136)),0,F136)+Table1[[#This Row],[Points]]/'Top 10 Hard'!$J$2</f>
        <v>0.8829995590554599</v>
      </c>
      <c r="G137" s="51" t="s">
        <v>597</v>
      </c>
      <c r="H137" s="64" t="str">
        <f>IF(VLOOKUP($G137,List!$A:$O,15,FALSE)=0,"",VLOOKUP($G137,List!$A:$O,15,FALSE))</f>
        <v/>
      </c>
      <c r="I137" s="42" t="str">
        <f>VLOOKUP($G137,List!$A:$U,2,FALSE)</f>
        <v>Own or have a subject own all naval supplies provinces as Norway.</v>
      </c>
      <c r="J137" s="54">
        <f>VLOOKUP($G137,List!$A:$U,3,FALSE)</f>
        <v>8.0000000000000002E-3</v>
      </c>
      <c r="K137" s="4" t="str">
        <f>VLOOKUP($G137,List!$A:$U,4,FALSE)</f>
        <v>VH</v>
      </c>
      <c r="L137" s="44">
        <f>VLOOKUP($G137,List!$A:$U,5,FALSE)</f>
        <v>292</v>
      </c>
      <c r="M137" s="42" t="str">
        <f>VLOOKUP($G137,List!$A:$U,17,FALSE)</f>
        <v>Playing as Norway</v>
      </c>
      <c r="N137" s="44" t="s">
        <v>1823</v>
      </c>
      <c r="O137" s="43" t="str">
        <f>VLOOKUP($G137,List!$A:$U,18,FALSE)</f>
        <v>Own or have a non-tributary subject own all provinces with naval supplies.</v>
      </c>
      <c r="P137" s="48" t="str">
        <f>VLOOKUP($G137,List!$A:$U,19,FALSE)</f>
        <v>Before patch 1.36.2, it was required that the provinces were owned by Norway 
or Norway's subjects, but since patch 1.36.2, they have to be owned by the 
player's country and its subjects, so the player can form any country and 
still get the achievement without having to get Norway back on the map.</v>
      </c>
    </row>
    <row r="138" spans="1:16" ht="30" customHeight="1" x14ac:dyDescent="0.25">
      <c r="A138" s="39" t="s">
        <v>2030</v>
      </c>
      <c r="B138" s="60" t="s">
        <v>1707</v>
      </c>
      <c r="C138" s="4" t="s">
        <v>573</v>
      </c>
      <c r="D138" s="27">
        <f t="shared" si="4"/>
        <v>583</v>
      </c>
      <c r="E138" s="31">
        <f>D138/'Top 10 Hard'!$J$2</f>
        <v>1.5771206591985644E-2</v>
      </c>
      <c r="F138" s="31">
        <f>IF(NOT(ISNUMBER(F137)),0,F137)+Table1[[#This Row],[Points]]/'Top 10 Hard'!$J$2</f>
        <v>0.89087163644528466</v>
      </c>
      <c r="G138" s="51" t="s">
        <v>601</v>
      </c>
      <c r="H138" s="64" t="str">
        <f>IF(VLOOKUP($G138,List!$A:$O,15,FALSE)=0,"",VLOOKUP($G138,List!$A:$O,15,FALSE))</f>
        <v/>
      </c>
      <c r="I138" s="42" t="str">
        <f>VLOOKUP($G138,List!$A:$U,2,FALSE)</f>
        <v>Have the highest income in the world while neither owning nor starting 
with a province with a development level higher than 10.</v>
      </c>
      <c r="J138" s="54">
        <f>VLOOKUP($G138,List!$A:$U,3,FALSE)</f>
        <v>8.9999999999999993E-3</v>
      </c>
      <c r="K138" s="4" t="str">
        <f>VLOOKUP($G138,List!$A:$U,4,FALSE)</f>
        <v>VH</v>
      </c>
      <c r="L138" s="44">
        <f>VLOOKUP($G138,List!$A:$U,5,FALSE)</f>
        <v>291</v>
      </c>
      <c r="M138" s="42" t="str">
        <f>VLOOKUP($G138,List!$A:$U,17,FALSE)</f>
        <v>- No owned province has more than 10 development at the start of the game</v>
      </c>
      <c r="N138" s="44" t="s">
        <v>1823</v>
      </c>
      <c r="O138" s="43" t="str">
        <f>VLOOKUP($G138,List!$A:$U,18,FALSE)</f>
        <v>- No owned province has more than 10 development
- No other country has a higher income than this country</v>
      </c>
      <c r="P138" s="48" t="str">
        <f>VLOOKUP($G138,List!$A:$U,19,FALSE)</f>
        <v>One possible start is Norway. Stay as a vassal under Denmark for 
protection, rush expansion ideas, then get exploration after you reach 
diplomatic tech 7, and colonize Newfoundland from there, triggering the 
Grand Banks Fisheries which will power your colonial nation of Vinland. 
After Vinland forms, you can release and choose to play as them well within 
the time-frame of Denmark beginning integration, bypassing the PU. From 
there, expand and build as many manufactories as possible, swapping into 
Canada or Quebec's ideas, or even the USA. An important thing to note is 
that you can have a 10+ development province after the start of the 
campaign, but not during the month you're trying to count the highest 
income. 
A great alternative start is Wolgast. Play the regular HRE game, expanding 
into Denmark and Russia. Exploit all provinces within 10-20 development 
(requires Cradle of Civilization), boost development of all provinces below 
10. Eventually, your income from flat 10 dev provinces will be the highest 
in the world, especially if you consider expanding into the west and taking 
control over the Channel. Keep all high dev provinces like Lübeck under 
vassals. 
Another good variant is Kilwa. Having Feudalism makes your country a 
dominant power in region, and you can easily expand. Almost all conquered 
provinces have development below 11 dev, so you will not need to exploit 
them (it takes much time). You can get 5 provinces with gold at the start 
and another 2 in Ethiopia. Other provinces also have good resources like 
ivory. Also your home trade nodes (Zanzibar and Cape) are convenient for 
collecting – you can increase income by steering trade from India and 
Malacca. At the start you should rush to admin tech 5 and get colonists for 
colonizing coasts (especially Cape) before the Europeans. 
The game does its check for highest income on every monthly tick meaning 
you could release nations from all your provinces with more than ten 
development and still get the achievement even if the next monthly tick 
would see your income drop tremendously as long as on the previous month 
tick, you had the highest income.</v>
      </c>
    </row>
    <row r="139" spans="1:16" ht="30" customHeight="1" x14ac:dyDescent="0.25">
      <c r="A139" s="45" t="s">
        <v>2002</v>
      </c>
      <c r="B139" s="59" t="s">
        <v>1901</v>
      </c>
      <c r="C139" s="4" t="s">
        <v>573</v>
      </c>
      <c r="D139" s="27">
        <f t="shared" si="4"/>
        <v>365.25</v>
      </c>
      <c r="E139" s="31">
        <f>D139/'Top 10 Hard'!$J$2</f>
        <v>9.8806744557851742E-3</v>
      </c>
      <c r="F139" s="31">
        <f>IF(NOT(ISNUMBER(F138)),0,F138)+Table1[[#This Row],[Points]]/'Top 10 Hard'!$J$2</f>
        <v>0.89877076564744562</v>
      </c>
      <c r="G139" s="52" t="s">
        <v>575</v>
      </c>
      <c r="H139" s="63" t="str">
        <f>IF(VLOOKUP($G139,List!$A:$O,15,FALSE)=0,"",VLOOKUP($G139,List!$A:$O,15,FALSE))</f>
        <v/>
      </c>
      <c r="I139" s="47" t="str">
        <f>VLOOKUP($G139,List!$A:$U,2,FALSE)</f>
        <v>As Manipur, unite the Bengal region and convert it to Animism.</v>
      </c>
      <c r="J139" s="55">
        <f>VLOOKUP($G139,List!$A:$U,3,FALSE)</f>
        <v>8.0000000000000002E-3</v>
      </c>
      <c r="K139" s="4" t="str">
        <f>VLOOKUP($G139,List!$A:$U,4,FALSE)</f>
        <v>VH</v>
      </c>
      <c r="L139" s="50">
        <f>VLOOKUP($G139,List!$A:$U,5,FALSE)</f>
        <v>292</v>
      </c>
      <c r="M139" s="47" t="str">
        <f>VLOOKUP($G139,List!$A:$U,17,FALSE)</f>
        <v>Playing as Manipur</v>
      </c>
      <c r="N139" s="50" t="s">
        <v>1823</v>
      </c>
      <c r="O139" s="49" t="str">
        <f>VLOOKUP($G139,List!$A:$U,18,FALSE)</f>
        <v>- All provinces in the Bengal region are owned by the player's country 
*or* its non-tributary subjects.
- All provinces in the Bengal region are Animist</v>
      </c>
      <c r="P139" s="48" t="str">
        <f>VLOOKUP($G139,List!$A:$U,19,FALSE)</f>
        <v>As soon as you can, take on your western neighbours, Kachar and/or Tripura. 
You will not have much luck east from game start, as Ava will guard it's 
tributaries. Best option is to not conquer both provinces, but to take one 
as a vassal - and a second OPM vassal in india as soon as possible as well. 
You can force them to be animist and feed them Indian culture provinces 
that you conquer. Allies are hard to come by, and vassals will be obliged 
to help you, pay you, give you extra force limit, etc.. Look for an 
opportunity to eat nations up north such as Assam, Sadiya, Mong Kawng, and 
Koch before Bengal annexes them or Ming makes them a tributary. Delay 
becoming a tributary of Ming as long as possible (or never if you can), but 
do not be afraid to use it as an inroad for expansion east as Ming will 
have a lot of tributary states in that direction. Once you are set up, it's 
the same as any other OPM-to-#1-Great-Power game. Get religious ideas to 
make conversions faster, especially against Islamic provinces.</v>
      </c>
    </row>
    <row r="140" spans="1:16" ht="30" customHeight="1" x14ac:dyDescent="0.25">
      <c r="A140" s="45" t="s">
        <v>2002</v>
      </c>
      <c r="B140" s="59" t="s">
        <v>1901</v>
      </c>
      <c r="C140" s="4" t="s">
        <v>573</v>
      </c>
      <c r="D140" s="27">
        <f t="shared" si="4"/>
        <v>365.25</v>
      </c>
      <c r="E140" s="31">
        <f>D140/'Top 10 Hard'!$J$2</f>
        <v>9.8806744557851742E-3</v>
      </c>
      <c r="F140" s="31">
        <f>IF(NOT(ISNUMBER(F139)),0,F139)+Table1[[#This Row],[Points]]/'Top 10 Hard'!$J$2</f>
        <v>0.90075231090106989</v>
      </c>
      <c r="G140" s="52" t="s">
        <v>283</v>
      </c>
      <c r="H140" s="63" t="str">
        <f>IF(VLOOKUP($G140,List!$A:$O,15,FALSE)=0,"",VLOOKUP($G140,List!$A:$O,15,FALSE))</f>
        <v/>
      </c>
      <c r="I140" s="47" t="str">
        <f>VLOOKUP($G140,List!$A:$U,2,FALSE)</f>
        <v>Start as Tribal nation in India and become a Steppe Horde.</v>
      </c>
      <c r="J140" s="55">
        <f>VLOOKUP($G140,List!$A:$U,3,FALSE)</f>
        <v>7.0000000000000001E-3</v>
      </c>
      <c r="K140" s="4" t="str">
        <f>VLOOKUP($G140,List!$A:$U,4,FALSE)</f>
        <v>M</v>
      </c>
      <c r="L140" s="50">
        <f>VLOOKUP($G140,List!$A:$U,5,FALSE)</f>
        <v>73.25</v>
      </c>
      <c r="M140" s="47" t="str">
        <f>VLOOKUP($G140,List!$A:$U,17,FALSE)</f>
        <v>- Government type is Tribal
- Capital is in India superregion</v>
      </c>
      <c r="N140" s="50" t="s">
        <v>1823</v>
      </c>
      <c r="O140" s="49" t="str">
        <f>VLOOKUP($G140,List!$A:$U,18,FALSE)</f>
        <v>- Has the Steppe Nomads government reform</v>
      </c>
      <c r="P140" s="48" t="str">
        <f>VLOOKUP($G140,List!$A:$U,19,FALSE)</f>
        <v>- This achievement is only visible if the Dharma *or* Emperor DLC is 
enabled, but it can be completed without them.
Eligible countries are:
- Bastar
- Bishnupur
- Chanda
- Garha
- Garjat
- Jangladesh
- Jeypore
- Jhalavad
- Jharkhand
- Junagarh
- Kachar
- Kalahandi
- Keonhjar
- Kutch
- Ladakh
- Manipur
- Patna
- Parlakhimidi
- Porbandar
- Ratanpur
- Sadiya
- Tripura</v>
      </c>
    </row>
    <row r="141" spans="1:16" ht="30" customHeight="1" x14ac:dyDescent="0.25">
      <c r="A141" s="39" t="s">
        <v>2012</v>
      </c>
      <c r="B141" s="60" t="s">
        <v>2006</v>
      </c>
      <c r="C141" s="6" t="s">
        <v>434</v>
      </c>
      <c r="D141" s="27">
        <f t="shared" si="4"/>
        <v>148</v>
      </c>
      <c r="E141" s="31">
        <f>D141/'Top 10 Hard'!$J$2</f>
        <v>4.0036682257527873E-3</v>
      </c>
      <c r="F141" s="31">
        <f>IF(NOT(ISNUMBER(F140)),0,F140)+Table1[[#This Row],[Points]]/'Top 10 Hard'!$J$2</f>
        <v>0.90475597912682271</v>
      </c>
      <c r="G141" s="51" t="s">
        <v>496</v>
      </c>
      <c r="H141" s="64" t="str">
        <f>IF(VLOOKUP($G141,List!$A:$O,15,FALSE)=0,"",VLOOKUP($G141,List!$A:$O,15,FALSE))</f>
        <v/>
      </c>
      <c r="I141" s="42" t="str">
        <f>VLOOKUP($G141,List!$A:$U,2,FALSE)</f>
        <v>As Saruhan, have at least 9 loyal vassals with at least 100 development 
each.</v>
      </c>
      <c r="J141" s="54">
        <f>VLOOKUP($G141,List!$A:$U,3,FALSE)</f>
        <v>4.0000000000000001E-3</v>
      </c>
      <c r="K141" s="6" t="str">
        <f>VLOOKUP($G141,List!$A:$U,4,FALSE)</f>
        <v>H</v>
      </c>
      <c r="L141" s="44">
        <f>VLOOKUP($G141,List!$A:$U,5,FALSE)</f>
        <v>148</v>
      </c>
      <c r="M141" s="42">
        <f>VLOOKUP($G141,List!$A:$U,17,FALSE)</f>
        <v>0</v>
      </c>
      <c r="N141" s="44" t="s">
        <v>1823</v>
      </c>
      <c r="O141" s="43" t="str">
        <f>VLOOKUP($G141,List!$A:$U,18,FALSE)</f>
        <v>- Is Saruhan
- 9 countries fulfill the following conditions: 
- is a vassal of Saruhan
- has less than *50%* liberty desire
- has at least *100* development</v>
      </c>
      <c r="P141" s="49" t="str">
        <f>VLOOKUP($G141,List!$A:$U,19,FALSE)</f>
        <v>Saruhan's core starts under the control of the Ottomans. Suggested 
strategy: expand rapidly as you normally would with the Ottomans until you 
have ~1200 development. Then, plan to release-and-play as Saruhan, taking 
most of Otto's lands. To do this, you will need to release Saruhan as 
vassal, wait 10 years, start to annex (to designate cores), feed it land, 
finalize annexation, and then release-and-play. You can cheese the 
release-and-play by feeding past the point of loyalty and then applying all 
available annexation cost reductions (Acquire Subjects mission, Influence 
idea, Amirs privilege, as well as any possible Policies). Make sure you 
wait until the last day of the month to do this, or else annexation 
progress will drop and you will be unable to proceed. As long as your 
annexation progress is above 100 on the month tick, it won't matter if 
liberty desire is over 50%. 
Once you have reannexed, you will be able to release-and-play. Ideally you 
will then own almost all Ottoman lands, making independence relatively easy 
to pursue. From there, you need to obtain 9 loyal vassals (NOT marches, NOT 
client states) with 100+ development. Rather than directly subjugating 
enemies to meet the vassal count, it is suggested that the player conquer 
and then release vassals; this avoids the forced vassalization malus. To 
help reduce liberty desire and thus total development needed, choose the 
relevant policies, and be sure to get the Splendor abilities in the Age of 
Revolutions (Anti-Revolutionary Zeal + Loyal Subjects). Upon release, you 
will no longer have the Ottoman government form, and should choose Iqta. 
Then on your goverment tab choose Lenient Taxation, which provides another 
Liberty Desire reduction. 
Note that during the feeding of Saruhan and following your transition to 
playing as them, the Ottomans will likely be severely weakened and thus 
open to attack. Keep this in mind, perhaps securing treaties in advance or 
locking in allies (though too many allies for Otto will make subsequent 
independence harder). Ideally you will be able to secure independence 
support from a rival.</v>
      </c>
    </row>
    <row r="142" spans="1:16" ht="30" customHeight="1" x14ac:dyDescent="0.25">
      <c r="A142" s="45" t="s">
        <v>2007</v>
      </c>
      <c r="B142" s="59" t="s">
        <v>1865</v>
      </c>
      <c r="C142" s="4" t="s">
        <v>434</v>
      </c>
      <c r="D142" s="27">
        <f t="shared" si="4"/>
        <v>143.5</v>
      </c>
      <c r="E142" s="31">
        <f>D142/'Top 10 Hard'!$J$2</f>
        <v>3.8819350702400338E-3</v>
      </c>
      <c r="F142" s="31">
        <f>IF(NOT(ISNUMBER(F141)),0,F141)+Table1[[#This Row],[Points]]/'Top 10 Hard'!$J$2</f>
        <v>0.90863791419706275</v>
      </c>
      <c r="G142" s="52" t="s">
        <v>449</v>
      </c>
      <c r="H142" s="63" t="str">
        <f>IF(VLOOKUP($G142,List!$A:$O,15,FALSE)=0,"",VLOOKUP($G142,List!$A:$O,15,FALSE))</f>
        <v/>
      </c>
      <c r="I142" s="47" t="str">
        <f>VLOOKUP($G142,List!$A:$U,2,FALSE)</f>
        <v>Starting as Karaman, form the Sultanate of Rum.</v>
      </c>
      <c r="J142" s="55">
        <f>VLOOKUP($G142,List!$A:$U,3,FALSE)</f>
        <v>1.2999999999999999E-2</v>
      </c>
      <c r="K142" s="6" t="str">
        <f>VLOOKUP($G142,List!$A:$U,4,FALSE)</f>
        <v>H</v>
      </c>
      <c r="L142" s="50">
        <f>VLOOKUP($G142,List!$A:$U,5,FALSE)</f>
        <v>143.5</v>
      </c>
      <c r="M142" s="47" t="str">
        <f>VLOOKUP($G142,List!$A:$U,17,FALSE)</f>
        <v>Playing as Karaman</v>
      </c>
      <c r="N142" s="50" t="s">
        <v>1823</v>
      </c>
      <c r="O142" s="49" t="str">
        <f>VLOOKUP($G142,List!$A:$U,18,FALSE)</f>
        <v>Is Rûm</v>
      </c>
      <c r="P142" s="43" t="str">
        <f>VLOOKUP($G142,List!$A:$U,19,FALSE)</f>
        <v>Initial moves for a success are for the player to ally Mamluks and later 
when possible Timurids. Expanding East and land locking the Ottomans in the 
Anatolia region by quick expansion east and north will in conjunction with 
your powerful allies forces the Ottomans to expand into Europe, once this 
occurs your best chance is to wait for a good opportunity strike with your 
allies when the ottomans are weak. Your main objective should be to get the 
provinces of Kocaeli and Biga, so that in next war you can build up your 
galley navy and block the straits.</v>
      </c>
    </row>
    <row r="143" spans="1:16" ht="30" customHeight="1" x14ac:dyDescent="0.25">
      <c r="A143" s="39" t="s">
        <v>2008</v>
      </c>
      <c r="B143" s="60" t="s">
        <v>1734</v>
      </c>
      <c r="C143" s="4" t="s">
        <v>626</v>
      </c>
      <c r="D143" s="27">
        <f t="shared" si="4"/>
        <v>1323.5</v>
      </c>
      <c r="E143" s="31">
        <f>D143/'Top 10 Hard'!$J$2</f>
        <v>3.5803073626917668E-2</v>
      </c>
      <c r="F143" s="31">
        <f>IF(NOT(ISNUMBER(F142)),0,F142)+Table1[[#This Row],[Points]]/'Top 10 Hard'!$J$2</f>
        <v>0.91057888173218271</v>
      </c>
      <c r="G143" s="51" t="s">
        <v>328</v>
      </c>
      <c r="H143" s="64" t="str">
        <f>IF(VLOOKUP($G143,List!$A:$O,15,FALSE)=0,"",VLOOKUP($G143,List!$A:$O,15,FALSE))</f>
        <v/>
      </c>
      <c r="I143" s="42" t="str">
        <f>VLOOKUP($G143,List!$A:$U,2,FALSE)</f>
        <v>Assign Pasha to Paris.</v>
      </c>
      <c r="J143" s="54">
        <f>VLOOKUP($G143,List!$A:$U,3,FALSE)</f>
        <v>1.2999999999999999E-2</v>
      </c>
      <c r="K143" s="6" t="str">
        <f>VLOOKUP($G143,List!$A:$U,4,FALSE)</f>
        <v>M</v>
      </c>
      <c r="L143" s="44">
        <f>VLOOKUP($G143,List!$A:$U,5,FALSE)</f>
        <v>71.75</v>
      </c>
      <c r="M143" s="42">
        <f>VLOOKUP($G143,List!$A:$U,17,FALSE)</f>
        <v>0</v>
      </c>
      <c r="N143" s="44" t="s">
        <v>1823</v>
      </c>
      <c r="O143" s="43" t="str">
        <f>VLOOKUP($G143,List!$A:$U,18,FALSE)</f>
        <v>- Has a government reform which allows Pashas
- Paris has a pasha</v>
      </c>
      <c r="P143" s="43" t="str">
        <f>VLOOKUP($G143,List!$A:$U,19,FALSE)</f>
        <v>Can be done as either Ottomans or Rûm
Possible reforms are Ottoman Government, Modernized Ottoman Government, Reorganized 
Ottoman Government and Sultanate of Rûm</v>
      </c>
    </row>
    <row r="144" spans="1:16" ht="30" customHeight="1" x14ac:dyDescent="0.25">
      <c r="A144" s="39" t="s">
        <v>2008</v>
      </c>
      <c r="B144" s="60" t="s">
        <v>1734</v>
      </c>
      <c r="C144" s="4" t="s">
        <v>626</v>
      </c>
      <c r="D144" s="27">
        <f t="shared" si="4"/>
        <v>1323.5</v>
      </c>
      <c r="E144" s="31">
        <f>D144/'Top 10 Hard'!$J$2</f>
        <v>3.5803073626917668E-2</v>
      </c>
      <c r="F144" s="31">
        <f>IF(NOT(ISNUMBER(F143)),0,F143)+Table1[[#This Row],[Points]]/'Top 10 Hard'!$J$2</f>
        <v>0.91239811611179</v>
      </c>
      <c r="G144" s="51" t="s">
        <v>275</v>
      </c>
      <c r="H144" s="64" t="str">
        <f>IF(VLOOKUP($G144,List!$A:$O,15,FALSE)=0,"",VLOOKUP($G144,List!$A:$O,15,FALSE))</f>
        <v/>
      </c>
      <c r="I144" s="42" t="str">
        <f>VLOOKUP($G144,List!$A:$U,2,FALSE)</f>
        <v>Own and have cores on Rome, Moscow and Istanbul as Ottomans or Rum.</v>
      </c>
      <c r="J144" s="54">
        <f>VLOOKUP($G144,List!$A:$U,3,FALSE)</f>
        <v>3.1E-2</v>
      </c>
      <c r="K144" s="6" t="str">
        <f>VLOOKUP($G144,List!$A:$U,4,FALSE)</f>
        <v>M</v>
      </c>
      <c r="L144" s="44">
        <f>VLOOKUP($G144,List!$A:$U,5,FALSE)</f>
        <v>67.25</v>
      </c>
      <c r="M144" s="42">
        <f>VLOOKUP($G144,List!$A:$U,17,FALSE)</f>
        <v>0</v>
      </c>
      <c r="N144" s="44" t="s">
        <v>1823</v>
      </c>
      <c r="O144" s="43" t="str">
        <f>VLOOKUP($G144,List!$A:$U,18,FALSE)</f>
        <v>- Is Ottomans or Rûm
- Own and core Moskva, Constantinople, and Roma.</v>
      </c>
      <c r="P144" s="43" t="str">
        <f>VLOOKUP($G144,List!$A:$U,19,FALSE)</f>
        <v>Make sure to attack Muscovy ASAP to remove a future potential threat.</v>
      </c>
    </row>
    <row r="145" spans="1:16" ht="30" customHeight="1" x14ac:dyDescent="0.25">
      <c r="A145" s="39" t="s">
        <v>2008</v>
      </c>
      <c r="B145" s="60" t="s">
        <v>1734</v>
      </c>
      <c r="C145" s="4" t="s">
        <v>626</v>
      </c>
      <c r="D145" s="27">
        <f t="shared" si="4"/>
        <v>1323.5</v>
      </c>
      <c r="E145" s="31">
        <f>D145/'Top 10 Hard'!$J$2</f>
        <v>3.5803073626917668E-2</v>
      </c>
      <c r="F145" s="31">
        <f>IF(NOT(ISNUMBER(F144)),0,F144)+Table1[[#This Row],[Points]]/'Top 10 Hard'!$J$2</f>
        <v>0.93650128090331519</v>
      </c>
      <c r="G145" s="51" t="s">
        <v>633</v>
      </c>
      <c r="H145" s="64" t="str">
        <f>IF(VLOOKUP($G145,List!$A:$O,15,FALSE)=0,"",VLOOKUP($G145,List!$A:$O,15,FALSE))</f>
        <v/>
      </c>
      <c r="I145" s="42" t="str">
        <f>VLOOKUP($G145,List!$A:$U,2,FALSE)</f>
        <v>Starting as The Ottomans, own or have Core Eyalets own all the provinces 
required to form the Roman Empire before 1500.</v>
      </c>
      <c r="J145" s="54">
        <f>VLOOKUP($G145,List!$A:$U,3,FALSE)</f>
        <v>3.0000000000000001E-3</v>
      </c>
      <c r="K145" s="6" t="str">
        <f>VLOOKUP($G145,List!$A:$U,4,FALSE)</f>
        <v>I</v>
      </c>
      <c r="L145" s="44">
        <f>VLOOKUP($G145,List!$A:$U,5,FALSE)</f>
        <v>891</v>
      </c>
      <c r="M145" s="42" t="str">
        <f>VLOOKUP($G145,List!$A:$U,17,FALSE)</f>
        <v>Playing as the Ottomans</v>
      </c>
      <c r="N145" s="44" t="s">
        <v>1823</v>
      </c>
      <c r="O145" s="43" t="str">
        <f>VLOOKUP($G145,List!$A:$U,18,FALSE)</f>
        <v>- The year is before 1500
- 425 of the following provinces are owned by this country or a subject 
of type Core Eyalet:
Needed provinces to form the Roman Empire</v>
      </c>
      <c r="P145" s="43">
        <f>VLOOKUP($G145,List!$A:$U,19,FALSE)</f>
        <v>0</v>
      </c>
    </row>
    <row r="146" spans="1:16" ht="30" customHeight="1" x14ac:dyDescent="0.25">
      <c r="A146" s="39" t="s">
        <v>2008</v>
      </c>
      <c r="B146" s="60" t="s">
        <v>1734</v>
      </c>
      <c r="C146" s="4" t="s">
        <v>626</v>
      </c>
      <c r="D146" s="27">
        <f t="shared" si="4"/>
        <v>1323.5</v>
      </c>
      <c r="E146" s="31">
        <f>D146/'Top 10 Hard'!$J$2</f>
        <v>3.5803073626917668E-2</v>
      </c>
      <c r="F146" s="31">
        <f>IF(NOT(ISNUMBER(F145)),0,F145)+Table1[[#This Row],[Points]]/'Top 10 Hard'!$J$2</f>
        <v>0.94047789731673181</v>
      </c>
      <c r="G146" s="51" t="s">
        <v>528</v>
      </c>
      <c r="H146" s="64" t="str">
        <f>IF(VLOOKUP($G146,List!$A:$O,15,FALSE)=0,"",VLOOKUP($G146,List!$A:$O,15,FALSE))</f>
        <v/>
      </c>
      <c r="I146" s="42" t="str">
        <f>VLOOKUP($G146,List!$A:$U,2,FALSE)</f>
        <v>As Asturias, establish an Order in Rum.</v>
      </c>
      <c r="J146" s="54">
        <f>VLOOKUP($G146,List!$A:$U,3,FALSE)</f>
        <v>6.0000000000000001E-3</v>
      </c>
      <c r="K146" s="6" t="str">
        <f>VLOOKUP($G146,List!$A:$U,4,FALSE)</f>
        <v>H</v>
      </c>
      <c r="L146" s="44">
        <f>VLOOKUP($G146,List!$A:$U,5,FALSE)</f>
        <v>147</v>
      </c>
      <c r="M146" s="42">
        <f>VLOOKUP($G146,List!$A:$U,17,FALSE)</f>
        <v>0</v>
      </c>
      <c r="N146" s="44" t="s">
        <v>1823</v>
      </c>
      <c r="O146" s="43" t="str">
        <f>VLOOKUP($G146,List!$A:$U,18,FALSE)</f>
        <v>- Is Asturias
- Own and have a holy order established in the Rum area</v>
      </c>
      <c r="P146" s="43" t="str">
        <f>VLOOKUP($G146,List!$A:$U,19,FALSE)</f>
        <v>- Easiest to do as Ottomans. First, no-CB Castile and conquer the 
province of Vizcaya, then release Asturias as a vassal. Next, conquer 
enough Iberian provinces to connect Vizcaya to the Mediterranean as well as 
at least one province per sea tile connecting Iberia to all provinces in 
the Rum area, giving Asturias the line of provinces in each peace deal as 
well as any of your own provinces needed to complete the snake. Integrate 
and re-release Asturias, selecting to play as them, and then establish the 
holy order needed in order to complete the achievement. A similar strategy 
can be used if starting as Aragon, which owns most of the connecting 
provinces needed.</v>
      </c>
    </row>
    <row r="147" spans="1:16" ht="30" customHeight="1" x14ac:dyDescent="0.25">
      <c r="A147" s="39" t="s">
        <v>2008</v>
      </c>
      <c r="B147" s="60" t="s">
        <v>1734</v>
      </c>
      <c r="C147" s="4" t="s">
        <v>626</v>
      </c>
      <c r="D147" s="27">
        <f t="shared" si="4"/>
        <v>1323.5</v>
      </c>
      <c r="E147" s="31">
        <f>D147/'Top 10 Hard'!$J$2</f>
        <v>3.5803073626917668E-2</v>
      </c>
      <c r="F147" s="31">
        <f>IF(NOT(ISNUMBER(F146)),0,F146)+Table1[[#This Row],[Points]]/'Top 10 Hard'!$J$2</f>
        <v>0.94444098782398034</v>
      </c>
      <c r="G147" s="51" t="s">
        <v>506</v>
      </c>
      <c r="H147" s="64" t="str">
        <f>IF(VLOOKUP($G147,List!$A:$O,15,FALSE)=0,"",VLOOKUP($G147,List!$A:$O,15,FALSE))</f>
        <v/>
      </c>
      <c r="I147" s="42" t="str">
        <f>VLOOKUP($G147,List!$A:$U,2,FALSE)</f>
        <v>As Yemen, prevent any European Nation from owning a Coffee-producing 
province in the Old World until 1700.</v>
      </c>
      <c r="J147" s="54">
        <f>VLOOKUP($G147,List!$A:$U,3,FALSE)</f>
        <v>7.0000000000000001E-3</v>
      </c>
      <c r="K147" s="6" t="str">
        <f>VLOOKUP($G147,List!$A:$U,4,FALSE)</f>
        <v>H</v>
      </c>
      <c r="L147" s="44">
        <f>VLOOKUP($G147,List!$A:$U,5,FALSE)</f>
        <v>146.5</v>
      </c>
      <c r="M147" s="42" t="str">
        <f>VLOOKUP($G147,List!$A:$U,17,FALSE)</f>
        <v>*Not* using a random New World</v>
      </c>
      <c r="N147" s="44" t="s">
        <v>1823</v>
      </c>
      <c r="O147" s="43" t="str">
        <f>VLOOKUP($G147,List!$A:$U,18,FALSE)</f>
        <v>- Culture is *Yemeni*
- Is year 1700 or later
- Is Yemen
- No coffee-producing provinces in the continents of Asia, Africa, or 
Oceania are held by a country with its capital in Europe.</v>
      </c>
      <c r="P147" s="43" t="str">
        <f>VLOOKUP($G147,List!$A:$U,19,FALSE)</f>
        <v>Conditions may be fulfilled any time after 1699, and do not need to be 
fulfilled before that time. Yemen is reformable via culture shift, so this 
is very attainable playing as any country. Can be combined with the Arabian 
Coffee achievement. Do not form Arabia</v>
      </c>
    </row>
    <row r="148" spans="1:16" ht="30" customHeight="1" x14ac:dyDescent="0.25">
      <c r="A148" s="45" t="s">
        <v>2009</v>
      </c>
      <c r="B148" s="59" t="s">
        <v>2023</v>
      </c>
      <c r="C148" s="4" t="s">
        <v>573</v>
      </c>
      <c r="D148" s="27">
        <f t="shared" si="4"/>
        <v>367</v>
      </c>
      <c r="E148" s="31">
        <f>D148/'Top 10 Hard'!$J$2</f>
        <v>9.928015127373466E-3</v>
      </c>
      <c r="F148" s="31">
        <f>IF(NOT(ISNUMBER(F147)),0,F147)+Table1[[#This Row],[Points]]/'Top 10 Hard'!$J$2</f>
        <v>0.95239422065081358</v>
      </c>
      <c r="G148" s="52" t="s">
        <v>586</v>
      </c>
      <c r="H148" s="63" t="str">
        <f>IF(VLOOKUP($G148,List!$A:$O,15,FALSE)=0,"",VLOOKUP($G148,List!$A:$O,15,FALSE))</f>
        <v/>
      </c>
      <c r="I148" s="47" t="str">
        <f>VLOOKUP($G148,List!$A:$U,2,FALSE)</f>
        <v>As Mann, conquer all Islands in the world.</v>
      </c>
      <c r="J148" s="55">
        <f>VLOOKUP($G148,List!$A:$U,3,FALSE)</f>
        <v>6.0000000000000001E-3</v>
      </c>
      <c r="K148" s="6" t="str">
        <f>VLOOKUP($G148,List!$A:$U,4,FALSE)</f>
        <v>VH</v>
      </c>
      <c r="L148" s="50">
        <f>VLOOKUP($G148,List!$A:$U,5,FALSE)</f>
        <v>294</v>
      </c>
      <c r="M148" s="47">
        <f>VLOOKUP($G148,List!$A:$U,17,FALSE)</f>
        <v>0</v>
      </c>
      <c r="N148" s="50" t="s">
        <v>1823</v>
      </c>
      <c r="O148" s="49" t="str">
        <f>VLOOKUP($G148,List!$A:$U,18,FALSE)</f>
        <v>- Is Mann
- Own *or* have non-tributary subjects own all provinces which are on an 
island.</v>
      </c>
      <c r="P148" s="43" t="str">
        <f>VLOOKUP($G148,List!$A:$U,19,FALSE)</f>
        <v>Mann can't be selected as a country in 1444, you must release it as a 
vassal and choose the option to play as a released vassal. 
As England release Mann at the very start of the game. After 10 years you 
can annex them again. As the annexation progresses grant them your 
provinces bit by bit before the process hits 100%. You can even move your 
capital to continental Europe and give London to Mann. Be careful about 
France as they will likely attack you once you are weakened. After 
annexation is finished spend all your monarch points to boost provinces 
that Mann considers as a core. Now release Mann again and chose to play as 
a released vassal. 
Alternatively, sabotage England as much as possible, such as releasing all 
releasable nations, leaving Mann for last. Release and play as them, then 
ally all other released nations, plus a major like Castile. Take London, 
Sussex, and Kent in your first war and you should be off to a great start.</v>
      </c>
    </row>
    <row r="149" spans="1:16" ht="30" customHeight="1" x14ac:dyDescent="0.25">
      <c r="A149" s="45" t="s">
        <v>2009</v>
      </c>
      <c r="B149" s="59" t="s">
        <v>2023</v>
      </c>
      <c r="C149" s="4" t="s">
        <v>573</v>
      </c>
      <c r="D149" s="27">
        <f t="shared" si="4"/>
        <v>367</v>
      </c>
      <c r="E149" s="31">
        <f>D149/'Top 10 Hard'!$J$2</f>
        <v>9.928015127373466E-3</v>
      </c>
      <c r="F149" s="31">
        <f>IF(NOT(ISNUMBER(F148)),0,F148)+Table1[[#This Row],[Points]]/'Top 10 Hard'!$J$2</f>
        <v>0.95436900295135385</v>
      </c>
      <c r="G149" s="52" t="s">
        <v>297</v>
      </c>
      <c r="H149" s="63" t="str">
        <f>IF(VLOOKUP($G149,List!$A:$O,15,FALSE)=0,"",VLOOKUP($G149,List!$A:$O,15,FALSE))</f>
        <v/>
      </c>
      <c r="I149" s="47" t="str">
        <f>VLOOKUP($G149,List!$A:$U,2,FALSE)</f>
        <v>As Wales, hold Cardiff, Dublin, Edinburgh, Rome, Paris and London.</v>
      </c>
      <c r="J149" s="55">
        <f>VLOOKUP($G149,List!$A:$U,3,FALSE)</f>
        <v>8.0000000000000002E-3</v>
      </c>
      <c r="K149" s="6" t="str">
        <f>VLOOKUP($G149,List!$A:$U,4,FALSE)</f>
        <v>M</v>
      </c>
      <c r="L149" s="50">
        <f>VLOOKUP($G149,List!$A:$U,5,FALSE)</f>
        <v>73</v>
      </c>
      <c r="M149" s="47">
        <f>VLOOKUP($G149,List!$A:$U,17,FALSE)</f>
        <v>0</v>
      </c>
      <c r="N149" s="50" t="s">
        <v>1823</v>
      </c>
      <c r="O149" s="49" t="str">
        <f>VLOOKUP($G149,List!$A:$U,18,FALSE)</f>
        <v>- Is Wales
- Own Glamorgan (241), Pale (373), Lothian (248), Roma (118), Paris 
(183) and London (236)</v>
      </c>
      <c r="P149" s="43" t="str">
        <f>VLOOKUP($G149,List!$A:$U,19,FALSE)</f>
        <v>- It is not needed to core the required provinces.
- The welsh names of the provinces in eu4 are Morgannwg(241), 
Dulyn(373), Lleuddiniawn(248), Rhufain(118), Paris(183) and Llundain(236)</v>
      </c>
    </row>
    <row r="150" spans="1:16" ht="30" customHeight="1" x14ac:dyDescent="0.25">
      <c r="A150" s="39" t="s">
        <v>2010</v>
      </c>
      <c r="B150" s="60" t="s">
        <v>1675</v>
      </c>
      <c r="C150" s="6" t="s">
        <v>626</v>
      </c>
      <c r="D150" s="27">
        <f t="shared" si="4"/>
        <v>1133.5</v>
      </c>
      <c r="E150" s="31">
        <f>D150/'Top 10 Hard'!$J$2</f>
        <v>3.0663229283045844E-2</v>
      </c>
      <c r="F150" s="31">
        <f>IF(NOT(ISNUMBER(F149)),0,F149)+Table1[[#This Row],[Points]]/'Top 10 Hard'!$J$2</f>
        <v>0.95807510124140882</v>
      </c>
      <c r="G150" s="51" t="s">
        <v>473</v>
      </c>
      <c r="H150" s="64" t="str">
        <f>IF(VLOOKUP($G150,List!$A:$O,15,FALSE)=0,"",VLOOKUP($G150,List!$A:$O,15,FALSE))</f>
        <v/>
      </c>
      <c r="I150" s="42" t="str">
        <f>VLOOKUP($G150,List!$A:$U,2,FALSE)</f>
        <v>Guarantee the Independence of France, The Ottoman Empire and Russia.</v>
      </c>
      <c r="J150" s="54">
        <f>VLOOKUP($G150,List!$A:$U,3,FALSE)</f>
        <v>2.5999999999999999E-2</v>
      </c>
      <c r="K150" s="6" t="str">
        <f>VLOOKUP($G150,List!$A:$U,4,FALSE)</f>
        <v>H</v>
      </c>
      <c r="L150" s="44">
        <f>VLOOKUP($G150,List!$A:$U,5,FALSE)</f>
        <v>137</v>
      </c>
      <c r="M150" s="42">
        <f>VLOOKUP($G150,List!$A:$U,17,FALSE)</f>
        <v>0</v>
      </c>
      <c r="N150" s="44" t="s">
        <v>1823</v>
      </c>
      <c r="O150" s="43" t="str">
        <f>VLOOKUP($G150,List!$A:$U,18,FALSE)</f>
        <v>- Guarantee the independence of: 
- France
- Ottomans
- Russia</v>
      </c>
      <c r="P150" s="49" t="str">
        <f>VLOOKUP($G150,List!$A:$U,19,FALSE)</f>
        <v>You can only guarantee a country if you are larger than it. Can be achieved 
easily after unifying the HRE.</v>
      </c>
    </row>
    <row r="151" spans="1:16" ht="30" customHeight="1" x14ac:dyDescent="0.25">
      <c r="A151" s="39" t="s">
        <v>2010</v>
      </c>
      <c r="B151" s="60" t="s">
        <v>2005</v>
      </c>
      <c r="C151" s="6" t="s">
        <v>626</v>
      </c>
      <c r="D151" s="27">
        <f t="shared" si="4"/>
        <v>1133.5</v>
      </c>
      <c r="E151" s="31">
        <f>D151/'Top 10 Hard'!$J$2</f>
        <v>3.0663229283045844E-2</v>
      </c>
      <c r="F151" s="31">
        <f>IF(NOT(ISNUMBER(F150)),0,F150)+Table1[[#This Row],[Points]]/'Top 10 Hard'!$J$2</f>
        <v>0.9617406218129595</v>
      </c>
      <c r="G151" s="51" t="s">
        <v>493</v>
      </c>
      <c r="H151" s="64" t="str">
        <f>IF(VLOOKUP($G151,List!$A:$O,15,FALSE)=0,"",VLOOKUP($G151,List!$A:$O,15,FALSE))</f>
        <v/>
      </c>
      <c r="I151" s="42" t="str">
        <f>VLOOKUP($G151,List!$A:$U,2,FALSE)</f>
        <v>Own and have cores on all of India as a European nation.</v>
      </c>
      <c r="J151" s="54">
        <f>VLOOKUP($G151,List!$A:$U,3,FALSE)</f>
        <v>2.9000000000000001E-2</v>
      </c>
      <c r="K151" s="6" t="str">
        <f>VLOOKUP($G151,List!$A:$U,4,FALSE)</f>
        <v>H</v>
      </c>
      <c r="L151" s="44">
        <f>VLOOKUP($G151,List!$A:$U,5,FALSE)</f>
        <v>135.5</v>
      </c>
      <c r="M151" s="42" t="str">
        <f>VLOOKUP($G151,List!$A:$U,17,FALSE)</f>
        <v>Capital is in Europe</v>
      </c>
      <c r="N151" s="44" t="s">
        <v>1823</v>
      </c>
      <c r="O151" s="43" t="str">
        <f>VLOOKUP($G151,List!$A:$U,18,FALSE)</f>
        <v>Own or have a non-tributary subject own all provinces in the Indian 
sub-continent (regions Deccan, Coromandel, Bengal, Hindustan and Western 
India).</v>
      </c>
      <c r="P151" s="49" t="str">
        <f>VLOOKUP($G151,List!$A:$U,19,FALSE)</f>
        <v>It's *not* required anymore for the player to directly own all provinces 
inside the Indian sub-continent. Vassals and other direct subjects count as 
long as they are not tributaries. Coring the provinces is also no longer 
required. 
The capital does not need to remain in Europe. Edirne is European, so the 
Ottomans are eligible and have the best shot at a quick land rush into 
India.</v>
      </c>
    </row>
    <row r="152" spans="1:16" ht="30" customHeight="1" x14ac:dyDescent="0.25">
      <c r="A152" s="39" t="s">
        <v>2010</v>
      </c>
      <c r="B152" s="60" t="s">
        <v>1675</v>
      </c>
      <c r="C152" s="6" t="s">
        <v>626</v>
      </c>
      <c r="D152" s="27">
        <f t="shared" si="4"/>
        <v>1133.5</v>
      </c>
      <c r="E152" s="31">
        <f>D152/'Top 10 Hard'!$J$2</f>
        <v>3.0663229283045844E-2</v>
      </c>
      <c r="F152" s="31">
        <f>IF(NOT(ISNUMBER(F151)),0,F151)+Table1[[#This Row],[Points]]/'Top 10 Hard'!$J$2</f>
        <v>0.98503223223439973</v>
      </c>
      <c r="G152" s="51" t="s">
        <v>627</v>
      </c>
      <c r="H152" s="64" t="str">
        <f>IF(VLOOKUP($G152,List!$A:$O,15,FALSE)=0,"",VLOOKUP($G152,List!$A:$O,15,FALSE))</f>
        <v/>
      </c>
      <c r="I152" s="42" t="str">
        <f>VLOOKUP($G152,List!$A:$U,2,FALSE)</f>
        <v>Have all non-wasteland land provinces in the world be of your religion.</v>
      </c>
      <c r="J152" s="54">
        <f>VLOOKUP($G152,List!$A:$U,3,FALSE)</f>
        <v>1.2999999999999999E-2</v>
      </c>
      <c r="K152" s="6" t="str">
        <f>VLOOKUP($G152,List!$A:$U,4,FALSE)</f>
        <v>I</v>
      </c>
      <c r="L152" s="44">
        <f>VLOOKUP($G152,List!$A:$U,5,FALSE)</f>
        <v>861</v>
      </c>
      <c r="M152" s="42">
        <f>VLOOKUP($G152,List!$A:$U,17,FALSE)</f>
        <v>0</v>
      </c>
      <c r="N152" s="44" t="s">
        <v>1823</v>
      </c>
      <c r="O152" s="43" t="str">
        <f>VLOOKUP($G152,List!$A:$U,18,FALSE)</f>
        <v>No colonized non-wasteland province has a different religion than this 
country.</v>
      </c>
      <c r="P152" s="49" t="str">
        <f>VLOOKUP($G152,List!$A:$U,19,FALSE)</f>
        <v>- Using the random new world will drastically reduce the number of 
provinces, especially inland ones, making this easier than with the true 
new world.
- Uncolonized provinces may still be of a different religion.
The easiest choice is either Austria or Ottomans, as both tags can conquer 
the world easily and have religions that have lots of missionaries and 
missionary strength buffs. The hardest faiths to One Faith with are the 
Pagan faiths (Animist, Tengri…), and Confucian with Mandate of Heaven. If 
playing as a Fetishist or Hindu nation, choose Buddhadharma or Buddha, 
respectively, to be able to use the Buddha statues and Pagan temples. Najd 
is a possible starting nation, since its ideas are religiously focused, 
including access to +2 missionaries and +2% missionary strength, as well as 
its starting religion of Sunni granting *−2%* local missionary strength 
which would make these provinces harder to convert. Possible to combine 
with Jihad.</v>
      </c>
    </row>
    <row r="153" spans="1:16" x14ac:dyDescent="0.25">
      <c r="G153" s="2"/>
      <c r="H153" s="2"/>
    </row>
  </sheetData>
  <phoneticPr fontId="4" type="noConversion"/>
  <conditionalFormatting sqref="A1:A1048576">
    <cfRule type="expression" dxfId="307" priority="18">
      <formula>H1="Y"</formula>
    </cfRule>
  </conditionalFormatting>
  <conditionalFormatting sqref="B1:B1048576">
    <cfRule type="expression" dxfId="306" priority="19">
      <formula>H1="Y"</formula>
    </cfRule>
  </conditionalFormatting>
  <conditionalFormatting sqref="C1:C1048576 K1:K1048576">
    <cfRule type="cellIs" dxfId="305" priority="117" operator="equal">
      <formula>"I"</formula>
    </cfRule>
    <cfRule type="cellIs" dxfId="304" priority="118" operator="equal">
      <formula>"VH"</formula>
    </cfRule>
    <cfRule type="cellIs" dxfId="303" priority="119" operator="equal">
      <formula>"H"</formula>
    </cfRule>
    <cfRule type="cellIs" dxfId="302" priority="120" operator="equal">
      <formula>"M"</formula>
    </cfRule>
    <cfRule type="cellIs" dxfId="301" priority="121" operator="equal">
      <formula>"E"</formula>
    </cfRule>
    <cfRule type="cellIs" dxfId="300" priority="122" operator="equal">
      <formula>"VE"</formula>
    </cfRule>
  </conditionalFormatting>
  <conditionalFormatting sqref="C1:C1048576">
    <cfRule type="expression" dxfId="299" priority="17">
      <formula>H1="Y"</formula>
    </cfRule>
  </conditionalFormatting>
  <conditionalFormatting sqref="D1:D1048576">
    <cfRule type="expression" dxfId="298" priority="16">
      <formula>H1="Y"</formula>
    </cfRule>
  </conditionalFormatting>
  <conditionalFormatting sqref="E1:F1048576">
    <cfRule type="expression" dxfId="297" priority="15">
      <formula>H1="Y"</formula>
    </cfRule>
  </conditionalFormatting>
  <conditionalFormatting sqref="G1:G1048576">
    <cfRule type="expression" dxfId="296" priority="14">
      <formula>H1="Y"</formula>
    </cfRule>
  </conditionalFormatting>
  <conditionalFormatting sqref="G11:H11">
    <cfRule type="expression" dxfId="295" priority="43">
      <formula>W11="Y"</formula>
    </cfRule>
  </conditionalFormatting>
  <conditionalFormatting sqref="G126:H126 G128:H128 G130:H132 G134:H134 G136:H136 G139:H140 G142:H142 G153:H153">
    <cfRule type="expression" dxfId="294" priority="27">
      <formula>W126="Y"</formula>
    </cfRule>
  </conditionalFormatting>
  <conditionalFormatting sqref="G148:H149">
    <cfRule type="expression" dxfId="293" priority="5">
      <formula>W148="Y"</formula>
    </cfRule>
  </conditionalFormatting>
  <conditionalFormatting sqref="H1:H1048576">
    <cfRule type="cellIs" dxfId="292" priority="20" operator="equal">
      <formula>"Y"</formula>
    </cfRule>
  </conditionalFormatting>
  <conditionalFormatting sqref="I1:I1048576">
    <cfRule type="expression" dxfId="291" priority="13">
      <formula>H1="Y"</formula>
    </cfRule>
  </conditionalFormatting>
  <conditionalFormatting sqref="J1:J1048576">
    <cfRule type="expression" dxfId="290" priority="12">
      <formula>H1="Y"</formula>
    </cfRule>
  </conditionalFormatting>
  <conditionalFormatting sqref="K1:K1048576">
    <cfRule type="expression" dxfId="289" priority="11">
      <formula>H1="Y"</formula>
    </cfRule>
  </conditionalFormatting>
  <conditionalFormatting sqref="L1:L1048576">
    <cfRule type="expression" dxfId="288" priority="10">
      <formula>H1="Y"</formula>
    </cfRule>
  </conditionalFormatting>
  <conditionalFormatting sqref="M1:M1048576">
    <cfRule type="expression" dxfId="287" priority="9">
      <formula>H1="Y"</formula>
    </cfRule>
  </conditionalFormatting>
  <conditionalFormatting sqref="N1:N1048576">
    <cfRule type="expression" dxfId="286" priority="8">
      <formula>H1="Y"</formula>
    </cfRule>
    <cfRule type="cellIs" dxfId="285" priority="22" operator="equal">
      <formula>"Yes"</formula>
    </cfRule>
  </conditionalFormatting>
  <conditionalFormatting sqref="O1:O1048576">
    <cfRule type="expression" dxfId="284" priority="7">
      <formula>H1="Y"</formula>
    </cfRule>
  </conditionalFormatting>
  <conditionalFormatting sqref="P1:P1048576">
    <cfRule type="expression" dxfId="283" priority="6">
      <formula>H1="Y"</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64ED-1FD3-4368-8455-971DCC0423D8}">
  <dimension ref="A1:J26"/>
  <sheetViews>
    <sheetView topLeftCell="A10" workbookViewId="0">
      <selection activeCell="A9" sqref="A9"/>
    </sheetView>
  </sheetViews>
  <sheetFormatPr defaultRowHeight="15" x14ac:dyDescent="0.25"/>
  <cols>
    <col min="1" max="1" width="31.7109375" bestFit="1" customWidth="1"/>
    <col min="2" max="2" width="67.5703125" customWidth="1"/>
    <col min="3" max="3" width="10.42578125" bestFit="1" customWidth="1"/>
    <col min="4" max="4" width="8" bestFit="1" customWidth="1"/>
    <col min="6" max="6" width="14.5703125" customWidth="1"/>
    <col min="7" max="7" width="28.140625" customWidth="1"/>
    <col min="8" max="8" width="60.140625" customWidth="1"/>
    <col min="9" max="9" width="43.28515625" customWidth="1"/>
  </cols>
  <sheetData>
    <row r="1" spans="1:10" ht="25.5" x14ac:dyDescent="0.25">
      <c r="A1" s="11" t="s">
        <v>634</v>
      </c>
      <c r="B1" s="11" t="s">
        <v>635</v>
      </c>
      <c r="C1" s="11" t="s">
        <v>637</v>
      </c>
      <c r="D1" s="12" t="s">
        <v>636</v>
      </c>
      <c r="E1" s="12" t="s">
        <v>754</v>
      </c>
      <c r="F1" s="11" t="s">
        <v>758</v>
      </c>
      <c r="G1" s="13" t="s">
        <v>766</v>
      </c>
      <c r="H1" s="13" t="s">
        <v>767</v>
      </c>
      <c r="I1" s="13" t="s">
        <v>1636</v>
      </c>
    </row>
    <row r="2" spans="1:10" ht="22.5" customHeight="1" x14ac:dyDescent="0.25">
      <c r="A2" s="2" t="s">
        <v>531</v>
      </c>
      <c r="B2" s="2" t="str">
        <f>VLOOKUP($A2,List!$A:$U,2,FALSE)</f>
        <v>As Russia, be the Emperor of China and the HRE.</v>
      </c>
      <c r="C2" s="3">
        <f>VLOOKUP($A2,List!$A:$U,3,FALSE)</f>
        <v>3.0000000000000001E-3</v>
      </c>
      <c r="D2" s="6" t="str">
        <f>VLOOKUP($A2,List!$A:$U,4,FALSE)</f>
        <v>H</v>
      </c>
      <c r="E2" s="6">
        <f>VLOOKUP($A2,List!$A:$U,5,FALSE)</f>
        <v>148.5</v>
      </c>
      <c r="F2" s="7">
        <f>VLOOKUP($A2,List!$A:$U,17,FALSE)</f>
        <v>0</v>
      </c>
      <c r="G2" s="7" t="str">
        <f>VLOOKUP($A2,List!$A:$U,18,FALSE)</f>
        <v>- Is Russia
- Is Emperor of China
- Is the emperor of the Holy Roman Empire</v>
      </c>
      <c r="H2" s="2" t="str">
        <f>VLOOKUP($A2,List!$A:$U,19,FALSE)</f>
        <v>To be Emperor of China, you must be in the Pagan or Eastern religion group, 
whilst to be the HRE Emperor, you generally must be Catholic unless Protestants 
won the league war, or sometimes other Christian denominations given 
specific circumstances (see League war), so a religion switch will be 
necessary to complete the achievement. Switching to a non-Christian 
religion as HRE Emperor will cause the emperorship to be lost unless the 
Erbkaisertum reform has been passed, while changing religion as Emperor of 
China allows you to retain the title. As such, it may be easiest to start 
as an atypical nation to form Russia such as Oirat, which starts off as Tengri 
and can use horde mechanics to relatively easily expand into the 
territories needed to form Russia. It is recommended to not seize the 
mandate until the needed provinces are conquered since seizing the mandate 
will change your government to Celestial Empire and disable horde 
mechanics. At this point, culture shift to Muscovite, Novgorodian or 
Ryazanian culture and form Russia once you hit admin tech 10. At some point 
you will need to conquer a Catholic province, perhaps from the Scandinavian 
or the Baltic regions, which will allow you to convert to Catholic via 
rebels. After seizing the Mandate of Heaven, convert to Catholicism, then 
ally or vassalize enough HRE electors to get yourself elected Holy Roman 
Emperor.</v>
      </c>
      <c r="I2" s="2">
        <f>VLOOKUP($A2,List!$A:$U,20,FALSE)</f>
        <v>0</v>
      </c>
      <c r="J2" s="7"/>
    </row>
    <row r="3" spans="1:10" ht="130.5" customHeight="1" x14ac:dyDescent="0.25">
      <c r="A3" s="2" t="s">
        <v>251</v>
      </c>
      <c r="B3" s="2" t="str">
        <f>VLOOKUP($A3,List!$A:$U,2,FALSE)</f>
        <v>Starting as a Russian nation, By 1600 own the East Siberian Coastline.</v>
      </c>
      <c r="C3" s="3">
        <f>VLOOKUP($A3,List!$A:$U,3,FALSE)</f>
        <v>2.5999999999999999E-2</v>
      </c>
      <c r="D3" s="6" t="str">
        <f>VLOOKUP($A3,List!$A:$U,4,FALSE)</f>
        <v>M</v>
      </c>
      <c r="E3" s="6">
        <f>VLOOKUP($A3,List!$A:$U,5,FALSE)</f>
        <v>68.5</v>
      </c>
      <c r="F3" s="7" t="str">
        <f>VLOOKUP($A3,List!$A:$U,17,FALSE)</f>
        <v>Culture group is *East Slavic*</v>
      </c>
      <c r="G3" s="7" t="str">
        <f>VLOOKUP($A3,List!$A:$U,18,FALSE)</f>
        <v>- Year is before 1601
- Own all port provinces in the *East Siberia* region
These provinces are Kamchatka, Penzhina, Kagyrgyn, Gizhiga, Tauisk, Okhotsk 
and Jugjur.</v>
      </c>
      <c r="H3" s="2" t="str">
        <f>VLOOKUP($A3,List!$A:$U,19,FALSE)</f>
        <v>- Note that it is not necessary to core the provinces. Even unfinished 
colonies count.
- This achievement is pretty easy to reach as Muscovy and you can finish 
it 40 to 50 years before the deadline. It is recommended to form Russia 
and take advantage of their Siberian Frontier idea, helping idea groups 
like exploration and expansion will then be optional. But a colonist from 
these groups can be used to start colonies if the time runs out and one of 
the Siberian ports has already been cored or fully colonized.</v>
      </c>
      <c r="I3" s="2">
        <f>VLOOKUP($A3,List!$A:$U,20,FALSE)</f>
        <v>0</v>
      </c>
      <c r="J3" s="7"/>
    </row>
    <row r="4" spans="1:10" ht="20.25" customHeight="1" x14ac:dyDescent="0.25">
      <c r="A4" s="2" t="s">
        <v>110</v>
      </c>
      <c r="B4" s="2" t="str">
        <f>VLOOKUP($A4,List!$A:$U,2,FALSE)</f>
        <v>Start as a country of Russian culture and form Russia.</v>
      </c>
      <c r="C4" s="3">
        <f>VLOOKUP($A4,List!$A:$U,3,FALSE)</f>
        <v>9.0999999999999998E-2</v>
      </c>
      <c r="D4" s="6" t="str">
        <f>VLOOKUP($A4,List!$A:$U,4,FALSE)</f>
        <v>E</v>
      </c>
      <c r="E4" s="6">
        <f>VLOOKUP($A4,List!$A:$U,5,FALSE)</f>
        <v>20.9</v>
      </c>
      <c r="F4" s="7" t="str">
        <f>VLOOKUP($A4,List!$A:$U,17,FALSE)</f>
        <v>Primary culture is either *Muscovite*, *Ryazanian* or *Novgorodian*</v>
      </c>
      <c r="G4" s="7" t="str">
        <f>VLOOKUP($A4,List!$A:$U,18,FALSE)</f>
        <v>Is Russia</v>
      </c>
      <c r="H4" s="2" t="str">
        <f>VLOOKUP($A4,List!$A:$U,19,FALSE)</f>
        <v>Easiest to do as Muscovy.</v>
      </c>
      <c r="I4" s="2">
        <f>VLOOKUP($A4,List!$A:$U,20,FALSE)</f>
        <v>0</v>
      </c>
      <c r="J4" s="7"/>
    </row>
    <row r="5" spans="1:10" ht="52.5" customHeight="1" x14ac:dyDescent="0.25">
      <c r="A5" s="2" t="s">
        <v>482</v>
      </c>
      <c r="B5" s="2" t="str">
        <f>VLOOKUP($A5,List!$A:$U,2,FALSE)</f>
        <v>As Tver, Yaroslavl, Ryazan, Beloozero, Rostov or Odoyev, eliminate all 
other Rurikovich nations without changing your ruling dynasty.</v>
      </c>
      <c r="C5" s="3">
        <f>VLOOKUP($A5,List!$A:$U,3,FALSE)</f>
        <v>8.9999999999999993E-3</v>
      </c>
      <c r="D5" s="6" t="str">
        <f>VLOOKUP($A5,List!$A:$U,4,FALSE)</f>
        <v>H</v>
      </c>
      <c r="E5" s="6">
        <f>VLOOKUP($A5,List!$A:$U,5,FALSE)</f>
        <v>145.5</v>
      </c>
      <c r="F5" s="7" t="str">
        <f>VLOOKUP($A5,List!$A:$U,17,FALSE)</f>
        <v>Playing as *either*: 
- Odoyev
- Ryazan
- Tver
- Yaroslavl
- Beloozero
- Rostov</v>
      </c>
      <c r="G5" s="7" t="str">
        <f>VLOOKUP($A5,List!$A:$U,18,FALSE)</f>
        <v>This country and its junior partners are the only countries with the 
Rurikovich dynasty</v>
      </c>
      <c r="H5" s="2">
        <f>VLOOKUP($A5,List!$A:$U,19,FALSE)</f>
        <v>0</v>
      </c>
      <c r="I5" s="2">
        <f>VLOOKUP($A5,List!$A:$U,20,FALSE)</f>
        <v>0</v>
      </c>
      <c r="J5" s="7" t="s">
        <v>770</v>
      </c>
    </row>
    <row r="6" spans="1:10" x14ac:dyDescent="0.25">
      <c r="A6" s="75" t="s">
        <v>1702</v>
      </c>
      <c r="B6" s="75"/>
      <c r="C6" s="75"/>
      <c r="D6" s="75"/>
      <c r="E6" s="75"/>
      <c r="F6" s="75"/>
      <c r="G6" s="75"/>
      <c r="H6" s="75"/>
      <c r="I6" s="75"/>
      <c r="J6" s="7"/>
    </row>
    <row r="7" spans="1:10" ht="51.75" x14ac:dyDescent="0.25">
      <c r="A7" s="2" t="s">
        <v>435</v>
      </c>
      <c r="B7" s="2" t="str">
        <f>VLOOKUP($A7,List!$A:$U,2,FALSE)</f>
        <v>As Ryazan, own Saratov, Crimea and Kazan while being independent.</v>
      </c>
      <c r="C7" s="3">
        <f>VLOOKUP($A7,List!$A:$U,3,FALSE)</f>
        <v>8.0000000000000002E-3</v>
      </c>
      <c r="D7" s="6" t="str">
        <f>VLOOKUP($A7,List!$A:$U,4,FALSE)</f>
        <v>H</v>
      </c>
      <c r="E7" s="6">
        <f>VLOOKUP($A7,List!$A:$U,5,FALSE)</f>
        <v>146</v>
      </c>
      <c r="F7" s="7" t="str">
        <f>VLOOKUP($A7,List!$A:$U,17,FALSE)</f>
        <v>Playing as Ryazan</v>
      </c>
      <c r="G7" s="7" t="str">
        <f>VLOOKUP($A7,List!$A:$U,18,FALSE)</f>
        <v>- Is *not* a subject nation
- Own the provinces of Crimea (284), Kazan (1082) and Saratov (303)</v>
      </c>
      <c r="H7" s="2">
        <f>VLOOKUP($A7,List!$A:$U,19,FALSE)</f>
        <v>0</v>
      </c>
      <c r="I7" s="2">
        <f>VLOOKUP($A7,List!$A:$U,20,FALSE)</f>
        <v>0</v>
      </c>
      <c r="J7" s="7"/>
    </row>
    <row r="8" spans="1:10" x14ac:dyDescent="0.25">
      <c r="A8" s="76" t="s">
        <v>1703</v>
      </c>
      <c r="B8" s="76"/>
      <c r="C8" s="76"/>
      <c r="D8" s="76"/>
      <c r="E8" s="76"/>
      <c r="F8" s="76"/>
      <c r="G8" s="76"/>
      <c r="H8" s="76"/>
      <c r="I8" s="76"/>
      <c r="J8" s="7"/>
    </row>
    <row r="9" spans="1:10" ht="26.25" x14ac:dyDescent="0.25">
      <c r="A9" s="2" t="s">
        <v>463</v>
      </c>
      <c r="B9" s="2" t="str">
        <f>VLOOKUP($A9,List!$A:$U,2,FALSE)</f>
        <v>Starting as Pskov, have 100 standing Streltsy units.</v>
      </c>
      <c r="C9" s="3">
        <f>VLOOKUP($A9,List!$A:$U,3,FALSE)</f>
        <v>6.0000000000000001E-3</v>
      </c>
      <c r="D9" s="6" t="str">
        <f>VLOOKUP($A9,List!$A:$U,4,FALSE)</f>
        <v>H</v>
      </c>
      <c r="E9" s="6">
        <f>VLOOKUP($A9,List!$A:$U,5,FALSE)</f>
        <v>147</v>
      </c>
      <c r="F9" s="7" t="str">
        <f>VLOOKUP($A9,List!$A:$U,17,FALSE)</f>
        <v>Playing as Pskov</v>
      </c>
      <c r="G9" s="7" t="str">
        <f>VLOOKUP($A9,List!$A:$U,18,FALSE)</f>
        <v>Has at least 100 Streltsy units</v>
      </c>
      <c r="H9" s="2">
        <f>VLOOKUP($A9,List!$A:$U,19,FALSE)</f>
        <v>0</v>
      </c>
      <c r="I9" s="2">
        <f>VLOOKUP($A9,List!$A:$U,20,FALSE)</f>
        <v>0</v>
      </c>
    </row>
    <row r="10" spans="1:10" x14ac:dyDescent="0.25">
      <c r="A10" s="77" t="s">
        <v>1704</v>
      </c>
      <c r="B10" s="77"/>
      <c r="C10" s="77"/>
      <c r="D10" s="77"/>
      <c r="E10" s="77"/>
      <c r="F10" s="77"/>
      <c r="G10" s="77"/>
      <c r="H10" s="77"/>
      <c r="I10" s="77"/>
      <c r="J10" s="7"/>
    </row>
    <row r="11" spans="1:10" ht="114.75" x14ac:dyDescent="0.25">
      <c r="A11" s="2" t="s">
        <v>491</v>
      </c>
      <c r="B11" s="2" t="str">
        <f>VLOOKUP($A11,List!$A:$U,2,FALSE)</f>
        <v>Starting as Odoyev, own one of every manufactory.</v>
      </c>
      <c r="C11" s="3">
        <f>VLOOKUP($A11,List!$A:$U,3,FALSE)</f>
        <v>6.0000000000000001E-3</v>
      </c>
      <c r="D11" s="6" t="str">
        <f>VLOOKUP($A11,List!$A:$U,4,FALSE)</f>
        <v>H</v>
      </c>
      <c r="E11" s="6">
        <f>VLOOKUP($A11,List!$A:$U,5,FALSE)</f>
        <v>147</v>
      </c>
      <c r="F11" s="7" t="str">
        <f>VLOOKUP($A11,List!$A:$U,17,FALSE)</f>
        <v>Playing as Odoyev</v>
      </c>
      <c r="G11" s="7" t="str">
        <f>VLOOKUP($A11,List!$A:$U,18,FALSE)</f>
        <v>Own at least one manufactory of each type</v>
      </c>
      <c r="H11" s="2" t="str">
        <f>VLOOKUP($A11,List!$A:$U,19,FALSE)</f>
        <v>- The new manufactories (Ramparts, Soldier's Households, Impressment 
Offices, State House) are also necessary
- With the Rule Britannia DLC a furnace is also necessary.
- Building the manufactories isn't very hard. The hard part is surviving 
long enough to get to the required technology (admin tech 16 without Rule 
Britannia and till the Enlightenment with the DLC) as well as getting 
provinces with the correct trade goods.</v>
      </c>
      <c r="I11" s="2">
        <f>VLOOKUP($A11,List!$A:$U,20,FALSE)</f>
        <v>0</v>
      </c>
    </row>
    <row r="12" spans="1:10" x14ac:dyDescent="0.25">
      <c r="A12" s="75" t="s">
        <v>1705</v>
      </c>
      <c r="B12" s="75"/>
      <c r="C12" s="75"/>
      <c r="D12" s="75"/>
      <c r="E12" s="75"/>
      <c r="F12" s="75"/>
      <c r="G12" s="75"/>
      <c r="H12" s="75"/>
      <c r="I12" s="75"/>
      <c r="J12" s="7"/>
    </row>
    <row r="13" spans="1:10" ht="39" customHeight="1" x14ac:dyDescent="0.25">
      <c r="A13" s="2" t="s">
        <v>591</v>
      </c>
      <c r="B13" s="2" t="str">
        <f>VLOOKUP($A13,List!$A:$U,2,FALSE)</f>
        <v>As Perm, own or have a subject own the Russian, Siberian, Scandinavian, 
Canadian, Hudson Bay and Cascadian Regions.</v>
      </c>
      <c r="C13" s="3">
        <f>VLOOKUP($A13,List!$A:$U,3,FALSE)</f>
        <v>7.0000000000000001E-3</v>
      </c>
      <c r="D13" s="6" t="str">
        <f>VLOOKUP($A13,List!$A:$U,4,FALSE)</f>
        <v>VH</v>
      </c>
      <c r="E13" s="6">
        <f>VLOOKUP($A13,List!$A:$U,5,FALSE)</f>
        <v>293</v>
      </c>
      <c r="F13" s="7" t="str">
        <f>VLOOKUP($A13,List!$A:$U,17,FALSE)</f>
        <v>Playing as Perm</v>
      </c>
      <c r="G13" s="7" t="str">
        <f>VLOOKUP($A13,List!$A:$U,18,FALSE)</f>
        <v>- *Not* playing as a released vassal
- Is Perm
- All provinces in the Canada, Cascadia, Hudson Bay, East Siberia, West 
Siberia, Scandinavia, Russia and Ural regions are owned by Perm*or* its 
non-tributary subjects.</v>
      </c>
      <c r="H13" s="2">
        <f>VLOOKUP($A13,List!$A:$U,19,FALSE)</f>
        <v>0</v>
      </c>
      <c r="I13" s="2">
        <f>VLOOKUP($A13,List!$A:$U,20,FALSE)</f>
        <v>0</v>
      </c>
      <c r="J13" s="7" t="s">
        <v>770</v>
      </c>
    </row>
    <row r="14" spans="1:10" x14ac:dyDescent="0.25">
      <c r="A14" s="78" t="s">
        <v>1706</v>
      </c>
      <c r="B14" s="78"/>
      <c r="C14" s="78"/>
      <c r="D14" s="78"/>
      <c r="E14" s="78"/>
      <c r="F14" s="78"/>
      <c r="G14" s="78"/>
      <c r="H14" s="78"/>
      <c r="I14" s="78"/>
      <c r="J14" s="7"/>
    </row>
    <row r="15" spans="1:10" ht="216.75" x14ac:dyDescent="0.25">
      <c r="A15" s="2" t="s">
        <v>588</v>
      </c>
      <c r="B15" s="2" t="str">
        <f>VLOOKUP($A15,List!$A:$U,2,FALSE)</f>
        <v>Start as Novgorod and control 90% of the trade power in the White Sea 
trade node while it is the highest valued trade node in the world.</v>
      </c>
      <c r="C15" s="3">
        <f>VLOOKUP($A15,List!$A:$U,3,FALSE)</f>
        <v>0.01</v>
      </c>
      <c r="D15" s="6" t="str">
        <f>VLOOKUP($A15,List!$A:$U,4,FALSE)</f>
        <v>VH</v>
      </c>
      <c r="E15" s="6">
        <f>VLOOKUP($A15,List!$A:$U,5,FALSE)</f>
        <v>290</v>
      </c>
      <c r="F15" s="7" t="str">
        <f>VLOOKUP($A15,List!$A:$U,17,FALSE)</f>
        <v>Playing as Novgorod</v>
      </c>
      <c r="G15" s="7" t="str">
        <f>VLOOKUP($A15,List!$A:$U,18,FALSE)</f>
        <v>Have 90% trade share in White Sea and it's the highest valued trade node 
in the world.</v>
      </c>
      <c r="H15" s="2" t="str">
        <f>VLOOKUP($A15,List!$A:$U,19,FALSE)</f>
        <v>- Note that "highest valued trade" means Total trade value *minus* 
outgoing trade.
- Not too difficult once you become powerful. You should be able to 
steer most Asian trade towards the white sea. Trade and plutocratic ideas 
can be helpful, but are not necessary : trade companies, the Great Russian 
Federation reform, and monuments like Bam citadel will provide you as many 
merchants as you need. Building manufactories (not workshops) in downstream 
nodes like Girin, Beijing, Yumen, etc. will increase the trade value 
downstream drastically. Note that England gets an event (« The Muscovite 
trade company ») that gives them permanent +20 trade power in the White 
Sea ̦; it can be counterbalanced by building lots of light ships.</v>
      </c>
      <c r="I15" s="2">
        <f>VLOOKUP($A15,List!$A:$U,20,FALSE)</f>
        <v>0</v>
      </c>
    </row>
    <row r="16" spans="1:10" x14ac:dyDescent="0.25">
      <c r="B16" s="2"/>
      <c r="C16" s="2"/>
    </row>
    <row r="17" spans="2:3" x14ac:dyDescent="0.25">
      <c r="B17" s="2"/>
    </row>
    <row r="19" spans="2:3" x14ac:dyDescent="0.25">
      <c r="C19" s="2"/>
    </row>
    <row r="21" spans="2:3" x14ac:dyDescent="0.25">
      <c r="B21" s="2"/>
      <c r="C21" s="2"/>
    </row>
    <row r="22" spans="2:3" x14ac:dyDescent="0.25">
      <c r="C22" s="2"/>
    </row>
    <row r="24" spans="2:3" x14ac:dyDescent="0.25">
      <c r="C24" s="2"/>
    </row>
    <row r="25" spans="2:3" x14ac:dyDescent="0.25">
      <c r="C25" s="2"/>
    </row>
    <row r="26" spans="2:3" x14ac:dyDescent="0.25">
      <c r="C26" s="2"/>
    </row>
  </sheetData>
  <mergeCells count="5">
    <mergeCell ref="A6:I6"/>
    <mergeCell ref="A8:I8"/>
    <mergeCell ref="A10:I10"/>
    <mergeCell ref="A12:I12"/>
    <mergeCell ref="A14:I14"/>
  </mergeCells>
  <conditionalFormatting sqref="A1">
    <cfRule type="expression" dxfId="282" priority="51">
      <formula>D1="Y"</formula>
    </cfRule>
  </conditionalFormatting>
  <conditionalFormatting sqref="A3:A8">
    <cfRule type="expression" dxfId="281" priority="7">
      <formula>O3="Y"</formula>
    </cfRule>
  </conditionalFormatting>
  <conditionalFormatting sqref="A10">
    <cfRule type="expression" dxfId="280" priority="5">
      <formula>O10="Y"</formula>
    </cfRule>
  </conditionalFormatting>
  <conditionalFormatting sqref="A12">
    <cfRule type="expression" dxfId="279" priority="3">
      <formula>O12="Y"</formula>
    </cfRule>
  </conditionalFormatting>
  <conditionalFormatting sqref="A14">
    <cfRule type="expression" dxfId="278" priority="1">
      <formula>O14="Y"</formula>
    </cfRule>
  </conditionalFormatting>
  <conditionalFormatting sqref="A2:B2 B3:B5 B7 A11:B11">
    <cfRule type="expression" dxfId="277" priority="43">
      <formula>O2="Y"</formula>
    </cfRule>
  </conditionalFormatting>
  <conditionalFormatting sqref="A9:B9">
    <cfRule type="expression" dxfId="276" priority="19">
      <formula>O9="Y"</formula>
    </cfRule>
  </conditionalFormatting>
  <conditionalFormatting sqref="A13:B13">
    <cfRule type="expression" dxfId="275" priority="42">
      <formula>O13="Y"</formula>
    </cfRule>
  </conditionalFormatting>
  <conditionalFormatting sqref="A15:B15">
    <cfRule type="expression" dxfId="274" priority="16">
      <formula>O15="Y"</formula>
    </cfRule>
  </conditionalFormatting>
  <conditionalFormatting sqref="A1:C1 F7:I7 C16 C19 C24:C26">
    <cfRule type="expression" dxfId="273" priority="62">
      <formula>#REF!="Y"</formula>
    </cfRule>
  </conditionalFormatting>
  <conditionalFormatting sqref="B16:B17 B21">
    <cfRule type="expression" dxfId="272" priority="64">
      <formula>#REF!="Y"</formula>
    </cfRule>
  </conditionalFormatting>
  <conditionalFormatting sqref="C2:C5 C7 C9 C11 C13 C15">
    <cfRule type="expression" dxfId="271" priority="37">
      <formula>M2="Y"</formula>
    </cfRule>
    <cfRule type="expression" dxfId="270" priority="36">
      <formula>N2="Y"</formula>
    </cfRule>
  </conditionalFormatting>
  <conditionalFormatting sqref="C16 C19 C26">
    <cfRule type="expression" dxfId="269" priority="63">
      <formula>F16="Y"</formula>
    </cfRule>
  </conditionalFormatting>
  <conditionalFormatting sqref="C21">
    <cfRule type="expression" dxfId="268" priority="66">
      <formula>F15="Y"</formula>
    </cfRule>
  </conditionalFormatting>
  <conditionalFormatting sqref="C21:C22">
    <cfRule type="expression" dxfId="267" priority="65">
      <formula>#REF!="Y"</formula>
    </cfRule>
  </conditionalFormatting>
  <conditionalFormatting sqref="C22 C24:C25">
    <cfRule type="expression" dxfId="266" priority="67">
      <formula>F21="Y"</formula>
    </cfRule>
  </conditionalFormatting>
  <conditionalFormatting sqref="D1 D7:E7">
    <cfRule type="cellIs" dxfId="265" priority="52" operator="equal">
      <formula>"I"</formula>
    </cfRule>
    <cfRule type="cellIs" dxfId="264" priority="53" operator="equal">
      <formula>"VH"</formula>
    </cfRule>
    <cfRule type="cellIs" dxfId="263" priority="54" operator="equal">
      <formula>"H"</formula>
    </cfRule>
    <cfRule type="cellIs" dxfId="262" priority="56" operator="equal">
      <formula>"E"</formula>
    </cfRule>
    <cfRule type="cellIs" dxfId="261" priority="57" operator="equal">
      <formula>"VE"</formula>
    </cfRule>
    <cfRule type="cellIs" dxfId="260" priority="55" operator="equal">
      <formula>"M"</formula>
    </cfRule>
  </conditionalFormatting>
  <conditionalFormatting sqref="D2:E5">
    <cfRule type="cellIs" dxfId="259" priority="34" operator="equal">
      <formula>"VE"</formula>
    </cfRule>
    <cfRule type="cellIs" dxfId="258" priority="33" operator="equal">
      <formula>"E"</formula>
    </cfRule>
    <cfRule type="cellIs" dxfId="257" priority="32" operator="equal">
      <formula>"M"</formula>
    </cfRule>
    <cfRule type="cellIs" dxfId="256" priority="30" operator="equal">
      <formula>"VH"</formula>
    </cfRule>
    <cfRule type="cellIs" dxfId="255" priority="31" operator="equal">
      <formula>"H"</formula>
    </cfRule>
    <cfRule type="cellIs" dxfId="254" priority="29" operator="equal">
      <formula>"I"</formula>
    </cfRule>
  </conditionalFormatting>
  <conditionalFormatting sqref="D9:E9 D11:E11 D13:E13 D15:E15">
    <cfRule type="cellIs" dxfId="253" priority="10" operator="equal">
      <formula>"I"</formula>
    </cfRule>
    <cfRule type="cellIs" dxfId="252" priority="11" operator="equal">
      <formula>"VH"</formula>
    </cfRule>
    <cfRule type="cellIs" dxfId="251" priority="12" operator="equal">
      <formula>"H"</formula>
    </cfRule>
    <cfRule type="cellIs" dxfId="250" priority="13" operator="equal">
      <formula>"M"</formula>
    </cfRule>
    <cfRule type="cellIs" dxfId="249" priority="15" operator="equal">
      <formula>"VE"</formula>
    </cfRule>
    <cfRule type="cellIs" dxfId="248" priority="14" operator="equal">
      <formula>"E"</formula>
    </cfRule>
  </conditionalFormatting>
  <conditionalFormatting sqref="E1">
    <cfRule type="cellIs" dxfId="247" priority="49" operator="equal">
      <formula>"Y"</formula>
    </cfRule>
  </conditionalFormatting>
  <conditionalFormatting sqref="F1">
    <cfRule type="expression" dxfId="246" priority="48">
      <formula>E1="Y"</formula>
    </cfRule>
    <cfRule type="expression" dxfId="245" priority="60">
      <formula>H1="Y"</formula>
    </cfRule>
    <cfRule type="expression" dxfId="244" priority="61">
      <formula>G1="Y"</formula>
    </cfRule>
  </conditionalFormatting>
  <conditionalFormatting sqref="F2:I5">
    <cfRule type="expression" dxfId="243" priority="28">
      <formula>#REF!="Y"</formula>
    </cfRule>
  </conditionalFormatting>
  <conditionalFormatting sqref="F9:I9 F11:I11 F13:I13 F15:I15">
    <cfRule type="expression" dxfId="242" priority="9">
      <formula>#REF!="Y"</formula>
    </cfRule>
  </conditionalFormatting>
  <conditionalFormatting sqref="G1">
    <cfRule type="expression" dxfId="241" priority="47">
      <formula>E1="Y"</formula>
    </cfRule>
  </conditionalFormatting>
  <conditionalFormatting sqref="H1">
    <cfRule type="expression" dxfId="240" priority="46">
      <formula>E1="Y"</formula>
    </cfRule>
  </conditionalFormatting>
  <conditionalFormatting sqref="I1">
    <cfRule type="expression" dxfId="239" priority="45">
      <formula>E1="Y"</formula>
    </cfRule>
  </conditionalFormatting>
  <conditionalFormatting sqref="J2:J8">
    <cfRule type="expression" dxfId="238" priority="44">
      <formula>E2="Y"</formula>
    </cfRule>
  </conditionalFormatting>
  <conditionalFormatting sqref="J10">
    <cfRule type="expression" dxfId="237" priority="6">
      <formula>E10="Y"</formula>
    </cfRule>
  </conditionalFormatting>
  <conditionalFormatting sqref="J12:J14">
    <cfRule type="expression" dxfId="236" priority="2">
      <formula>E12="Y"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5864E-31AE-48F9-AD21-970E551229EF}">
  <dimension ref="A1:H5"/>
  <sheetViews>
    <sheetView zoomScale="90" zoomScaleNormal="90" workbookViewId="0">
      <selection activeCell="A3" sqref="A3:A5"/>
    </sheetView>
  </sheetViews>
  <sheetFormatPr defaultRowHeight="15" x14ac:dyDescent="0.25"/>
  <cols>
    <col min="1" max="1" width="31.7109375" bestFit="1" customWidth="1"/>
    <col min="2" max="2" width="67.5703125" customWidth="1"/>
    <col min="3" max="3" width="10.42578125" bestFit="1" customWidth="1"/>
    <col min="4" max="4" width="8" bestFit="1" customWidth="1"/>
    <col min="5" max="5" width="8" customWidth="1"/>
    <col min="6" max="6" width="28.140625" customWidth="1"/>
    <col min="7" max="7" width="60.140625" customWidth="1"/>
    <col min="8" max="8" width="63.140625" customWidth="1"/>
  </cols>
  <sheetData>
    <row r="1" spans="1:8" ht="21" x14ac:dyDescent="0.25">
      <c r="C1" s="30" t="s">
        <v>1680</v>
      </c>
      <c r="D1" s="31">
        <f>E1/'Top 10 Hard'!$J$2</f>
        <v>5.8093766991919671E-3</v>
      </c>
      <c r="E1" s="27">
        <f>SUM(E3:E4)</f>
        <v>214.75</v>
      </c>
    </row>
    <row r="2" spans="1:8" ht="25.5" x14ac:dyDescent="0.25">
      <c r="A2" s="11" t="s">
        <v>634</v>
      </c>
      <c r="B2" s="11" t="s">
        <v>635</v>
      </c>
      <c r="C2" s="11" t="s">
        <v>637</v>
      </c>
      <c r="D2" s="12" t="s">
        <v>636</v>
      </c>
      <c r="E2" s="12" t="s">
        <v>1668</v>
      </c>
      <c r="F2" s="13" t="s">
        <v>766</v>
      </c>
      <c r="G2" s="13" t="s">
        <v>767</v>
      </c>
      <c r="H2" s="13" t="s">
        <v>1636</v>
      </c>
    </row>
    <row r="3" spans="1:8" ht="114.75" x14ac:dyDescent="0.25">
      <c r="A3" s="2" t="s">
        <v>299</v>
      </c>
      <c r="B3" s="2" t="str">
        <f>VLOOKUP($A3,List!$A:$U,2,FALSE)</f>
        <v>Starting as a custom nation with the full 800 points but no more than 3 
total development, have a monthly income of at least 500 ducats.</v>
      </c>
      <c r="C3" s="3">
        <f>VLOOKUP($A3,List!$A:$U,3,FALSE)</f>
        <v>1.4999999999999999E-2</v>
      </c>
      <c r="D3" s="6" t="str">
        <f>VLOOKUP($A3,List!$A:$U,4,FALSE)</f>
        <v>M</v>
      </c>
      <c r="E3" s="6">
        <f>VLOOKUP($A3,List!$A:$U,5,FALSE)</f>
        <v>71.25</v>
      </c>
      <c r="F3" s="7" t="str">
        <f>VLOOKUP($A3,List!$A:$U,17,FALSE)</f>
        <v>- Playing as a custom nation
- Only 1 custom nation exists in the world
- Used no more than 801 nation designer points
- No more than 3 total development</v>
      </c>
      <c r="G3" s="7" t="str">
        <f>VLOOKUP($A3,List!$A:$U,18,FALSE)</f>
        <v>- *Not* playing as a released vassal
- Has at least 500 ducats in income</v>
      </c>
      <c r="H3" s="2" t="str">
        <f>VLOOKUP($A3,List!$A:$U,19,FALSE)</f>
        <v>Despite the description, can be done with fewer than 800 points. Spoils of 
war do not count towards the income; you must make 500 ducats, not 
including Spoils.
It became very easy after Third Rome, due to Siberian frontier ability: 
Start a nation in Americas with Siberian Frontier as a tradition, it will 
allow you to expand in uncolonized regions rapidly. 
Can also be paired with For Odin! and From Humble Origins</v>
      </c>
    </row>
    <row r="4" spans="1:8" ht="90" x14ac:dyDescent="0.25">
      <c r="A4" s="2" t="s">
        <v>439</v>
      </c>
      <c r="B4" s="2" t="str">
        <f>VLOOKUP($A4,List!$A:$U,2,FALSE)</f>
        <v>Starting as a Norse custom nation with no more than 200 points and a 
maximum of 5 provinces, own &amp; core Scandinavia and the British Isles and 
convert it all to Norse.</v>
      </c>
      <c r="C4" s="3">
        <f>VLOOKUP($A4,List!$A:$U,3,FALSE)</f>
        <v>1.2999999999999999E-2</v>
      </c>
      <c r="D4" s="6" t="str">
        <f>VLOOKUP($A4,List!$A:$U,4,FALSE)</f>
        <v>H</v>
      </c>
      <c r="E4" s="6">
        <f>VLOOKUP($A4,List!$A:$U,5,FALSE)</f>
        <v>143.5</v>
      </c>
      <c r="F4" s="7" t="str">
        <f>VLOOKUP($A4,List!$A:$U,17,FALSE)</f>
        <v>- Playing as a custom nation
- Only 1 custom nation exists in the world
- Used no more than 201 nation designer points
- No more than 5 provinces
- Religion is Norse</v>
      </c>
      <c r="G4" s="7" t="str">
        <f>VLOOKUP($A4,List!$A:$U,18,FALSE)</f>
        <v>- *Not* playing as a released vassal
- Religion is Norse
- Own and core all provinces in Britain and Scandinavia.
- All provinces in Britain and Scandinavia have Norse religion.
Britain and Scandinavia</v>
      </c>
      <c r="H4" s="2" t="str">
        <f>VLOOKUP($A4,List!$A:$U,19,FALSE)</f>
        <v>Can also be paired with From Humble Origins and Ideas Guy</v>
      </c>
    </row>
    <row r="5" spans="1:8" ht="200.25" customHeight="1" x14ac:dyDescent="0.25">
      <c r="A5" s="2" t="s">
        <v>601</v>
      </c>
      <c r="B5" s="2" t="str">
        <f>VLOOKUP($A5,List!$A:$U,2,FALSE)</f>
        <v>Have the highest income in the world while neither owning nor starting 
with a province with a development level higher than 10.</v>
      </c>
      <c r="C5" s="3">
        <f>VLOOKUP($A5,List!$A:$U,3,FALSE)</f>
        <v>8.9999999999999993E-3</v>
      </c>
      <c r="D5" s="6" t="str">
        <f>VLOOKUP($A5,List!$A:$U,4,FALSE)</f>
        <v>VH</v>
      </c>
      <c r="E5" s="6">
        <f>VLOOKUP($A5,List!$A:$U,5,FALSE)</f>
        <v>291</v>
      </c>
      <c r="F5" s="7" t="str">
        <f>VLOOKUP($A5,List!$A:$U,17,FALSE)</f>
        <v>- No owned province has more than 10 development at the start of the game</v>
      </c>
      <c r="G5" s="7" t="s">
        <v>1532</v>
      </c>
      <c r="H5" s="2" t="s">
        <v>1533</v>
      </c>
    </row>
  </sheetData>
  <conditionalFormatting sqref="A2">
    <cfRule type="expression" dxfId="235" priority="40">
      <formula>D2="Y"</formula>
    </cfRule>
  </conditionalFormatting>
  <conditionalFormatting sqref="A3:B5">
    <cfRule type="expression" dxfId="234" priority="1">
      <formula>O3="Y"</formula>
    </cfRule>
  </conditionalFormatting>
  <conditionalFormatting sqref="A2:C2">
    <cfRule type="expression" dxfId="233" priority="43">
      <formula>#REF!="Y"</formula>
    </cfRule>
  </conditionalFormatting>
  <conditionalFormatting sqref="C3:C5">
    <cfRule type="expression" dxfId="232" priority="8">
      <formula>N3="Y"</formula>
    </cfRule>
    <cfRule type="expression" dxfId="231" priority="9">
      <formula>M3="Y"</formula>
    </cfRule>
  </conditionalFormatting>
  <conditionalFormatting sqref="D2">
    <cfRule type="cellIs" dxfId="230" priority="34" operator="equal">
      <formula>"I"</formula>
    </cfRule>
    <cfRule type="cellIs" dxfId="229" priority="35" operator="equal">
      <formula>"VH"</formula>
    </cfRule>
    <cfRule type="cellIs" dxfId="228" priority="36" operator="equal">
      <formula>"H"</formula>
    </cfRule>
    <cfRule type="cellIs" dxfId="227" priority="37" operator="equal">
      <formula>"M"</formula>
    </cfRule>
    <cfRule type="cellIs" dxfId="226" priority="38" operator="equal">
      <formula>"E"</formula>
    </cfRule>
    <cfRule type="cellIs" dxfId="225" priority="39" operator="equal">
      <formula>"VE"</formula>
    </cfRule>
  </conditionalFormatting>
  <conditionalFormatting sqref="D3:E5">
    <cfRule type="cellIs" dxfId="224" priority="2" operator="equal">
      <formula>"I"</formula>
    </cfRule>
    <cfRule type="cellIs" dxfId="223" priority="3" operator="equal">
      <formula>"VH"</formula>
    </cfRule>
    <cfRule type="cellIs" dxfId="222" priority="4" operator="equal">
      <formula>"H"</formula>
    </cfRule>
    <cfRule type="cellIs" dxfId="221" priority="5" operator="equal">
      <formula>"M"</formula>
    </cfRule>
    <cfRule type="cellIs" dxfId="220" priority="6" operator="equal">
      <formula>"E"</formula>
    </cfRule>
    <cfRule type="cellIs" dxfId="219" priority="7" operator="equal">
      <formula>"VE"</formula>
    </cfRule>
  </conditionalFormatting>
  <conditionalFormatting sqref="E2">
    <cfRule type="expression" dxfId="218" priority="31">
      <formula>O2="Y"</formula>
    </cfRule>
  </conditionalFormatting>
  <conditionalFormatting sqref="F2:H5">
    <cfRule type="expression" dxfId="217" priority="10">
      <formula>#REF!="Y"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BC31-09BA-43B6-86CD-7C2F847C46AC}">
  <dimension ref="A1:C7"/>
  <sheetViews>
    <sheetView workbookViewId="0">
      <selection activeCell="K32" sqref="K32"/>
    </sheetView>
  </sheetViews>
  <sheetFormatPr defaultRowHeight="15" x14ac:dyDescent="0.25"/>
  <sheetData>
    <row r="1" spans="1:3" x14ac:dyDescent="0.25">
      <c r="A1" s="6" t="s">
        <v>434</v>
      </c>
      <c r="B1">
        <v>4</v>
      </c>
      <c r="C1">
        <v>5</v>
      </c>
    </row>
    <row r="2" spans="1:3" x14ac:dyDescent="0.25">
      <c r="A2" s="6" t="s">
        <v>242</v>
      </c>
      <c r="B2">
        <v>3</v>
      </c>
      <c r="C2">
        <v>2.5</v>
      </c>
    </row>
    <row r="3" spans="1:3" x14ac:dyDescent="0.25">
      <c r="A3" s="6" t="s">
        <v>105</v>
      </c>
      <c r="B3">
        <v>2</v>
      </c>
      <c r="C3">
        <v>1</v>
      </c>
    </row>
    <row r="4" spans="1:3" x14ac:dyDescent="0.25">
      <c r="A4" s="6" t="s">
        <v>2</v>
      </c>
      <c r="B4">
        <v>1</v>
      </c>
      <c r="C4">
        <v>0.5</v>
      </c>
    </row>
    <row r="5" spans="1:3" x14ac:dyDescent="0.25">
      <c r="A5" s="6" t="s">
        <v>573</v>
      </c>
      <c r="B5">
        <v>5</v>
      </c>
      <c r="C5">
        <v>10</v>
      </c>
    </row>
    <row r="6" spans="1:3" x14ac:dyDescent="0.25">
      <c r="A6" s="6" t="s">
        <v>626</v>
      </c>
      <c r="B6">
        <v>6</v>
      </c>
      <c r="C6">
        <v>30</v>
      </c>
    </row>
    <row r="7" spans="1:3" x14ac:dyDescent="0.25">
      <c r="C7" t="s">
        <v>1669</v>
      </c>
    </row>
  </sheetData>
  <conditionalFormatting sqref="A1:A6">
    <cfRule type="cellIs" dxfId="216" priority="1" operator="equal">
      <formula>"I"</formula>
    </cfRule>
    <cfRule type="cellIs" dxfId="215" priority="2" operator="equal">
      <formula>"VH"</formula>
    </cfRule>
    <cfRule type="cellIs" dxfId="214" priority="3" operator="equal">
      <formula>"H"</formula>
    </cfRule>
    <cfRule type="cellIs" dxfId="213" priority="4" operator="equal">
      <formula>"M"</formula>
    </cfRule>
    <cfRule type="cellIs" dxfId="212" priority="5" operator="equal">
      <formula>"E"</formula>
    </cfRule>
    <cfRule type="cellIs" dxfId="211" priority="6" operator="equal">
      <formula>"VE"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B87DA-EA4E-493C-8327-11283D76496B}">
  <dimension ref="A1:AB28"/>
  <sheetViews>
    <sheetView showGridLines="0" zoomScale="90" zoomScaleNormal="90" workbookViewId="0">
      <selection activeCell="K2" sqref="K2"/>
    </sheetView>
  </sheetViews>
  <sheetFormatPr defaultColWidth="9.140625" defaultRowHeight="15" outlineLevelCol="2" x14ac:dyDescent="0.25"/>
  <cols>
    <col min="1" max="1" width="4.5703125" style="1" customWidth="1"/>
    <col min="2" max="2" width="25.7109375" style="1" bestFit="1" customWidth="1"/>
    <col min="3" max="3" width="67.28515625" style="1" customWidth="1" outlineLevel="1"/>
    <col min="4" max="7" width="55.5703125" style="1" hidden="1" customWidth="1" outlineLevel="2"/>
    <col min="8" max="9" width="9.140625" style="1"/>
    <col min="10" max="10" width="11.140625" style="1" bestFit="1" customWidth="1"/>
    <col min="11" max="11" width="9.140625" style="1"/>
    <col min="12" max="12" width="11.140625" style="1" bestFit="1" customWidth="1"/>
    <col min="13" max="13" width="2.42578125" style="1" customWidth="1"/>
    <col min="14" max="14" width="4.5703125" style="1" customWidth="1"/>
    <col min="15" max="15" width="25.7109375" style="1" bestFit="1" customWidth="1"/>
    <col min="16" max="16" width="67.28515625" style="1" customWidth="1" outlineLevel="1"/>
    <col min="17" max="20" width="9.140625" style="1"/>
    <col min="21" max="21" width="11.140625" style="1" bestFit="1" customWidth="1"/>
    <col min="22" max="22" width="2.7109375" style="1" customWidth="1"/>
    <col min="23" max="23" width="4.5703125" style="1" customWidth="1"/>
    <col min="24" max="24" width="25.7109375" style="1" bestFit="1" customWidth="1"/>
    <col min="25" max="25" width="67.28515625" style="1" customWidth="1" outlineLevel="1"/>
    <col min="26" max="16384" width="9.140625" style="1"/>
  </cols>
  <sheetData>
    <row r="1" spans="1:28" x14ac:dyDescent="0.25">
      <c r="I1" s="1" t="s">
        <v>1672</v>
      </c>
      <c r="J1" s="1" t="s">
        <v>1670</v>
      </c>
      <c r="K1" s="1" t="s">
        <v>1671</v>
      </c>
      <c r="L1" s="1" t="s">
        <v>1681</v>
      </c>
    </row>
    <row r="2" spans="1:28" ht="21" x14ac:dyDescent="0.25">
      <c r="I2" s="29">
        <f>K2/J2</f>
        <v>0.62652267888687241</v>
      </c>
      <c r="J2" s="28">
        <f>SUM(List!E:E)</f>
        <v>36966.099999999969</v>
      </c>
      <c r="K2" s="27">
        <f>SUMIFS(List!$E:$E,List!$O:$O,"Y")</f>
        <v>23160.099999999995</v>
      </c>
      <c r="L2" s="1">
        <f>COUNTIFS(List!O:O,"Y")</f>
        <v>278</v>
      </c>
    </row>
    <row r="3" spans="1:28" x14ac:dyDescent="0.25">
      <c r="J3" s="67"/>
      <c r="L3" s="1">
        <v>373</v>
      </c>
    </row>
    <row r="4" spans="1:28" ht="15.75" x14ac:dyDescent="0.25">
      <c r="A4" s="79" t="s">
        <v>1638</v>
      </c>
      <c r="B4" s="79"/>
      <c r="C4" s="79"/>
      <c r="D4" s="79"/>
      <c r="E4" s="79"/>
      <c r="F4" s="79"/>
      <c r="G4" s="79"/>
      <c r="H4" s="79"/>
      <c r="I4" s="79"/>
      <c r="J4" s="79"/>
      <c r="K4" s="79"/>
      <c r="L4" s="79"/>
      <c r="N4" s="81" t="s">
        <v>1646</v>
      </c>
      <c r="O4" s="81"/>
      <c r="P4" s="81"/>
      <c r="Q4" s="81"/>
      <c r="R4" s="81"/>
      <c r="S4" s="81"/>
      <c r="T4" s="81"/>
      <c r="U4" s="81"/>
      <c r="W4" s="82" t="s">
        <v>1650</v>
      </c>
      <c r="X4" s="82"/>
      <c r="Y4" s="82"/>
      <c r="Z4" s="82"/>
      <c r="AA4" s="82"/>
      <c r="AB4" s="21"/>
    </row>
    <row r="5" spans="1:28" ht="25.5" x14ac:dyDescent="0.25">
      <c r="A5" s="11" t="s">
        <v>1640</v>
      </c>
      <c r="B5" s="11" t="s">
        <v>634</v>
      </c>
      <c r="C5" s="11" t="s">
        <v>635</v>
      </c>
      <c r="D5" s="11" t="s">
        <v>766</v>
      </c>
      <c r="E5" s="11" t="s">
        <v>767</v>
      </c>
      <c r="F5" s="11" t="s">
        <v>1636</v>
      </c>
      <c r="G5" s="11" t="s">
        <v>1637</v>
      </c>
      <c r="H5" s="11" t="s">
        <v>637</v>
      </c>
      <c r="I5" s="11" t="s">
        <v>636</v>
      </c>
      <c r="J5" s="11" t="s">
        <v>1668</v>
      </c>
      <c r="K5" s="11" t="s">
        <v>754</v>
      </c>
      <c r="L5" s="11" t="s">
        <v>758</v>
      </c>
      <c r="N5" s="11" t="s">
        <v>1640</v>
      </c>
      <c r="O5" s="11" t="s">
        <v>634</v>
      </c>
      <c r="P5" s="11" t="s">
        <v>635</v>
      </c>
      <c r="Q5" s="11" t="s">
        <v>637</v>
      </c>
      <c r="R5" s="11" t="s">
        <v>636</v>
      </c>
      <c r="S5" s="11" t="s">
        <v>1668</v>
      </c>
      <c r="T5" s="11" t="s">
        <v>754</v>
      </c>
      <c r="U5" s="11" t="s">
        <v>758</v>
      </c>
      <c r="W5" s="11" t="s">
        <v>1640</v>
      </c>
      <c r="X5" s="11" t="s">
        <v>634</v>
      </c>
      <c r="Y5" s="11" t="s">
        <v>635</v>
      </c>
      <c r="Z5" s="11" t="s">
        <v>637</v>
      </c>
      <c r="AA5" s="11" t="s">
        <v>636</v>
      </c>
      <c r="AB5" s="11" t="s">
        <v>1668</v>
      </c>
    </row>
    <row r="6" spans="1:28" ht="22.5" customHeight="1" x14ac:dyDescent="0.25">
      <c r="A6" s="1">
        <v>1</v>
      </c>
      <c r="B6" s="1" t="str" cm="1">
        <f t="array" ref="B6">INDEX(List!A:A,MATCH(SMALL(List!I:I,ROW(4:4)),List!I:I,0))</f>
        <v>From Frankfurt to the Andes</v>
      </c>
      <c r="C6" s="2" t="str">
        <f>VLOOKUP($B6,List!$A$1:$U$374,2,FALSE)</f>
        <v>Starting as Frankfurt, form Jerusalem, and then form the Inca while owning 
Mallorca.</v>
      </c>
      <c r="D6" s="2" t="str">
        <f>VLOOKUP($B6,List!$A$1:$U$374,16,FALSE)</f>
        <v>Frankfurt</v>
      </c>
      <c r="E6" s="2" t="str">
        <f>VLOOKUP($B6,List!$A$1:$U$374,17,FALSE)</f>
        <v>Playing as Frankfurt</v>
      </c>
      <c r="F6" s="2" t="str">
        <f>VLOOKUP($B6,List!$A$1:$U$374,18,FALSE)</f>
        <v>- Was Frankfurt
- Was Jerusalem
- Is Inca
- Own Mallorca (333)</v>
      </c>
      <c r="G6" s="2" t="str">
        <f>VLOOKUP($B6,List!$A$1:$U$374,19,FALSE)</f>
        <v>- Hardest part of this achievement is finding and fulfilling conditions 
for different tag formation.
- To form Jerusalem, you need to get into coring range of Jerusalem area 
(vassalize an Italian minor and conquer a province next to it), own and 
state Jerusalem area, move capital to Arabia, Egypt or Mashriq and switch 
from Republic to Monarchy. And this has to be done before the Age of 
Reformation ends, because Frankfurt can't form Jerusalem later.
- To form Inca you need to move your capital to the New World, own cores 
on required provinces, culture shift to Andean culture and change your 
religion to a pagan faith via rebels.
- Switching to play as a released vassal will invalidate the achievement.</v>
      </c>
      <c r="H6" s="3">
        <f>VLOOKUP($B6,List!$A$1:$U$374,3,FALSE)</f>
        <v>2E-3</v>
      </c>
      <c r="I6" s="6" t="str">
        <f>VLOOKUP($B6,List!$A$1:$U$374,4,FALSE)</f>
        <v>VH</v>
      </c>
      <c r="J6" s="24">
        <f>IF(VLOOKUP($B6,List!$A$1:$U$374,5,FALSE)="","",VLOOKUP($B6,List!$A$1:$U$374,5,FALSE))</f>
        <v>298</v>
      </c>
      <c r="K6" s="4" t="str">
        <f>IF(VLOOKUP($B6,List!$A$1:$U$374,15,FALSE)="","",VLOOKUP($B6,List!$A$1:$U$374,15,FALSE))</f>
        <v>Y</v>
      </c>
      <c r="L6" s="1" t="str">
        <f>IF(VLOOKUP($B6,List!$A$1:$U$374,16,FALSE)="","",VLOOKUP($B6,List!$A$1:$U$374,16,FALSE))</f>
        <v>Frankfurt</v>
      </c>
      <c r="N6" s="1">
        <v>1</v>
      </c>
      <c r="O6" s="1" t="str" cm="1">
        <f t="array" ref="O6">INDEX(List!A:A,MATCH(SMALL(List!J:J,ROW(2:2)),List!J:J,0))</f>
        <v>Mayapahit?</v>
      </c>
      <c r="P6" s="2" t="str">
        <f>VLOOKUP($O6,List!$A$1:$U$374,2,FALSE)</f>
        <v>Starting as any Mayan country, form Maya and own or have a subject own the 
island of Java.</v>
      </c>
      <c r="Q6" s="3">
        <f>VLOOKUP($O6,List!$A$1:$U$374,3,FALSE)</f>
        <v>2E-3</v>
      </c>
      <c r="R6" s="6" t="str">
        <f>VLOOKUP($O6,List!$A$1:$U$374,4,FALSE)</f>
        <v>H</v>
      </c>
      <c r="S6" s="24">
        <f>IF(VLOOKUP($O6,List!$A$1:$U$374,5,FALSE)="","",VLOOKUP($B6,List!$A$1:$U$374,5,FALSE))</f>
        <v>298</v>
      </c>
      <c r="T6" s="4" t="str">
        <f>IF(VLOOKUP($O6,List!$A$1:$U$374,15,FALSE)="","",VLOOKUP($O6,List!$A$1:$U$374,15,FALSE))</f>
        <v>Y</v>
      </c>
      <c r="U6" s="1" t="str">
        <f>IF(VLOOKUP($O6,List!$A$1:$U$374,16,FALSE)="","",VLOOKUP($O6,List!$A$1:$U$374,16,FALSE))</f>
        <v>Huastec</v>
      </c>
      <c r="W6" s="1">
        <v>1</v>
      </c>
      <c r="X6" s="1" t="str" cm="1">
        <f t="array" ref="X6">INDEX(List!A:A,MATCH(SMALL(List!K:K,ROW(2:2)),List!K:K,0))</f>
        <v>Timurizz</v>
      </c>
      <c r="Y6" s="2" t="str">
        <f>VLOOKUP($X6,List!$A$1:$U$374,2,FALSE)</f>
        <v>Starting as the Timurids, have 75 prestige, and 5 allies with 100 Trust 
and 150 opinion.</v>
      </c>
      <c r="Z6" s="3">
        <f>VLOOKUP($X6,List!$A$1:$U$374,3,FALSE)</f>
        <v>3.0000000000000001E-3</v>
      </c>
      <c r="AA6" s="6" t="str">
        <f>VLOOKUP($X6,List!$A$1:$U$374,4,FALSE)</f>
        <v>E</v>
      </c>
      <c r="AB6" s="24">
        <f>IF(VLOOKUP($X6,List!$A$1:$U$374,5,FALSE)="","",VLOOKUP($B6,List!$A$1:$U$374,5,FALSE))</f>
        <v>298</v>
      </c>
    </row>
    <row r="7" spans="1:28" ht="22.5" customHeight="1" x14ac:dyDescent="0.25">
      <c r="A7" s="14">
        <v>2</v>
      </c>
      <c r="B7" s="14" t="str" cm="1">
        <f t="array" ref="B7">INDEX(List!A:A,MATCH(SMALL(List!I:I,ROW(5:5)),List!I:I,0))</f>
        <v>Timurizz</v>
      </c>
      <c r="C7" s="15" t="str">
        <f>VLOOKUP($B7,List!$A$1:$U$374,2,FALSE)</f>
        <v>Starting as the Timurids, have 75 prestige, and 5 allies with 100 Trust 
and 150 opinion.</v>
      </c>
      <c r="D7" s="15">
        <f>VLOOKUP($B7,List!$A$1:$U$374,16,FALSE)</f>
        <v>0</v>
      </c>
      <c r="E7" s="15" t="str">
        <f>VLOOKUP($B7,List!$A$1:$U$374,17,FALSE)</f>
        <v>- Is Timurids</v>
      </c>
      <c r="F7" s="15" t="str">
        <f>VLOOKUP($B7,List!$A$1:$U$374,18,FALSE)</f>
        <v>- Prestige is at least *+75*
- Has at least 5 allies with 100 trust which have at least *+150* 
opinion of our country</v>
      </c>
      <c r="G7" s="15" t="str">
        <f>VLOOKUP($B7,List!$A$1:$U$374,19,FALSE)</f>
        <v>The allies which have the trust have to be the same allies which have the 
opinion 
Trust can be gained by honoring calls to arms or by using the *Influence 
nation* interaction as a great power, or with The Cossacks or Leviathan by 
trading favors for trust. If neither The Cossacks nor Leviathan are active, 
trust with allies grows slowly over time.</v>
      </c>
      <c r="H7" s="16">
        <f>VLOOKUP($B7,List!$A$1:$U$374,3,FALSE)</f>
        <v>3.0000000000000001E-3</v>
      </c>
      <c r="I7" s="17" t="str">
        <f>VLOOKUP($B7,List!$A$1:$U$374,4,FALSE)</f>
        <v>E</v>
      </c>
      <c r="J7" s="25">
        <f>IF(VLOOKUP($B7,List!$A$1:$U$374,5,FALSE)="","",VLOOKUP($B7,List!$A$1:$U$374,5,FALSE))</f>
        <v>29.7</v>
      </c>
      <c r="K7" s="18" t="str">
        <f>IF(VLOOKUP($B7,List!$A$1:$U$374,15,FALSE)="","",VLOOKUP($B7,List!$A$1:$U$374,15,FALSE))</f>
        <v/>
      </c>
      <c r="L7" s="14" t="str">
        <f>IF(VLOOKUP($B7,List!$A$1:$U$374,16,FALSE)="","",VLOOKUP($B7,List!$A$1:$U$374,16,FALSE))</f>
        <v/>
      </c>
      <c r="N7" s="14">
        <v>2</v>
      </c>
      <c r="O7" s="14" t="str" cm="1">
        <f t="array" ref="O7">INDEX(List!A:A,MATCH(SMALL(List!J:J,ROW(3:3)),List!J:J,0))</f>
        <v>From Frankfurt to the Andes</v>
      </c>
      <c r="P7" s="15" t="str">
        <f>VLOOKUP($O7,List!$A$1:$U$374,2,FALSE)</f>
        <v>Starting as Frankfurt, form Jerusalem, and then form the Inca while owning 
Mallorca.</v>
      </c>
      <c r="Q7" s="16">
        <f>VLOOKUP($O7,List!$A$1:$U$374,3,FALSE)</f>
        <v>2E-3</v>
      </c>
      <c r="R7" s="17" t="str">
        <f>VLOOKUP($O7,List!$A$1:$U$374,4,FALSE)</f>
        <v>VH</v>
      </c>
      <c r="S7" s="25">
        <f>IF(VLOOKUP($O7,List!$A$1:$U$374,5,FALSE)="","",VLOOKUP($B7,List!$A$1:$U$374,5,FALSE))</f>
        <v>29.7</v>
      </c>
      <c r="T7" s="18" t="str">
        <f>IF(VLOOKUP($O7,List!$A$1:$U$374,15,FALSE)="","",VLOOKUP($O7,List!$A$1:$U$374,15,FALSE))</f>
        <v>Y</v>
      </c>
      <c r="U7" s="14" t="str">
        <f>IF(VLOOKUP($O7,List!$A$1:$U$374,16,FALSE)="","",VLOOKUP($O7,List!$A$1:$U$374,16,FALSE))</f>
        <v>Frankfurt</v>
      </c>
      <c r="W7" s="14">
        <v>2</v>
      </c>
      <c r="X7" s="1" t="str" cm="1">
        <f t="array" ref="X7">INDEX(List!A:A,MATCH(SMALL(List!K:K,ROW(3:3)),List!K:K,0))</f>
        <v>The Freest Man in the World</v>
      </c>
      <c r="Y7" s="15" t="str">
        <f>VLOOKUP($X7,List!$A$1:$U$374,2,FALSE)</f>
        <v>Ensure that no colonized province in the world produces slaves while 
having the War Against the World Doctrine government reform enacted.</v>
      </c>
      <c r="Z7" s="16">
        <f>VLOOKUP($X7,List!$A$1:$U$374,3,FALSE)</f>
        <v>3.0000000000000001E-3</v>
      </c>
      <c r="AA7" s="17" t="str">
        <f>VLOOKUP($X7,List!$A$1:$U$374,4,FALSE)</f>
        <v>H</v>
      </c>
      <c r="AB7" s="25">
        <f>IF(VLOOKUP($X7,List!$A$1:$U$374,5,FALSE)="","",VLOOKUP($B7,List!$A$1:$U$374,5,FALSE))</f>
        <v>29.7</v>
      </c>
    </row>
    <row r="8" spans="1:28" ht="22.5" customHeight="1" x14ac:dyDescent="0.25">
      <c r="A8" s="1">
        <v>3</v>
      </c>
      <c r="B8" s="1" t="str" cm="1">
        <f t="array" ref="B8">INDEX(List!A:A,MATCH(SMALL(List!I:I,ROW(6:6)),List!I:I,0))</f>
        <v>It's all coming together</v>
      </c>
      <c r="C8" s="2" t="str">
        <f>VLOOKUP($B8,List!$A$1:$U$374,2,FALSE)</f>
        <v>Complete the Incan mission tree (Sunset invasion missions excluded).</v>
      </c>
      <c r="D8" s="2" t="str">
        <f>VLOOKUP($B8,List!$A$1:$U$374,16,FALSE)</f>
        <v>Frankfurt</v>
      </c>
      <c r="E8" s="2" t="str">
        <f>VLOOKUP($B8,List!$A$1:$U$374,17,FALSE)</f>
        <v>- Is *not* playing with a Random New World</v>
      </c>
      <c r="F8" s="2" t="str">
        <f>VLOOKUP($B8,List!$A$1:$U$374,18,FALSE)</f>
        <v>Has completed the following missions: 
- *“Rule of the Sun”*
- *“Contact the Oracle”*
- *“Defeat the Wanka”*
- *“Our Chimuan Rivals”*
- *“The Ground Shaker”*
- *“Conquer Cajamarca”*
- *“Take Over Quito”*
- *“Defy the Qollans”*
- *“Seize Southern Fringes”*
- *“Recruit the Chanka”*
- *“Seize the Chincha”*
- *“Down the Altiplano”*
- *“Promote Runasimi”*
- *“Development of the Mitma”*
- *“Awka Kamayuq”*
- *“The Big Ears”*
- *“The Zeq'e System”*
- *“The Oracle of Pachacamac”*
- *“Four Quarters Together”*
- *“The Qollqas”*
- *“Construct New Kallanka”*
- *“The Solar Cult”*
- *“Reform Religion”*
- *“Temples to Viracocha”*
- *“Imperial Infrastructure”*
- *“Qhapaq Ñan”*
- *“Imperial Frontiers”*
- *“Incan Terracing”*
- *“Idols of our Subjects”*
- *“Among the Mountaintops”*
- *“Navel of the Universe”*
- *“Haucaypata”*
- *“Collect the Mita”*
- *“Sweat of the Sun”*
- *“Tears of the Moon”*
- *“Renovate Cuzco”*
- *“Secondary Capital”*
- *“Incan Weaving”*
- *“Expand into the Jungle”*
- *“Recruit Bowmen”*</v>
      </c>
      <c r="G8" s="2">
        <f>VLOOKUP($B8,List!$A$1:$U$374,19,FALSE)</f>
        <v>0</v>
      </c>
      <c r="H8" s="3">
        <f>VLOOKUP($B8,List!$A$1:$U$374,3,FALSE)</f>
        <v>3.0000000000000001E-3</v>
      </c>
      <c r="I8" s="6" t="str">
        <f>VLOOKUP($B8,List!$A$1:$U$374,4,FALSE)</f>
        <v>M</v>
      </c>
      <c r="J8" s="26">
        <f>IF(VLOOKUP($B8,List!$A$1:$U$374,5,FALSE)="","",VLOOKUP($B8,List!$A$1:$U$374,5,FALSE))</f>
        <v>74.25</v>
      </c>
      <c r="K8" s="4" t="str">
        <f>IF(VLOOKUP($B8,List!$A$1:$U$374,15,FALSE)="","",VLOOKUP($B8,List!$A$1:$U$374,15,FALSE))</f>
        <v>Y</v>
      </c>
      <c r="L8" s="1" t="str">
        <f>IF(VLOOKUP($B8,List!$A$1:$U$374,16,FALSE)="","",VLOOKUP($B8,List!$A$1:$U$374,16,FALSE))</f>
        <v>Frankfurt</v>
      </c>
      <c r="N8" s="1">
        <v>3</v>
      </c>
      <c r="O8" s="1" t="str" cm="1">
        <f t="array" ref="O8">INDEX(List!A:A,MATCH(SMALL(List!J:J,ROW(4:4)),List!J:J,0))</f>
        <v>It's all coming together</v>
      </c>
      <c r="P8" s="2" t="str">
        <f>VLOOKUP($O8,List!$A$1:$U$374,2,FALSE)</f>
        <v>Complete the Incan mission tree (Sunset invasion missions excluded).</v>
      </c>
      <c r="Q8" s="3">
        <f>VLOOKUP($O8,List!$A$1:$U$374,3,FALSE)</f>
        <v>3.0000000000000001E-3</v>
      </c>
      <c r="R8" s="6" t="str">
        <f>VLOOKUP($O8,List!$A$1:$U$374,4,FALSE)</f>
        <v>M</v>
      </c>
      <c r="S8" s="26">
        <f>IF(VLOOKUP($O8,List!$A$1:$U$374,5,FALSE)="","",VLOOKUP($B8,List!$A$1:$U$374,5,FALSE))</f>
        <v>74.25</v>
      </c>
      <c r="T8" s="4" t="str">
        <f>IF(VLOOKUP($O8,List!$A$1:$U$374,15,FALSE)="","",VLOOKUP($O8,List!$A$1:$U$374,15,FALSE))</f>
        <v>Y</v>
      </c>
      <c r="U8" s="1" t="str">
        <f>IF(VLOOKUP($O8,List!$A$1:$U$374,16,FALSE)="","",VLOOKUP($O8,List!$A$1:$U$374,16,FALSE))</f>
        <v>Frankfurt</v>
      </c>
      <c r="W8" s="1">
        <v>3</v>
      </c>
      <c r="X8" s="1" t="str" cm="1">
        <f t="array" ref="X8">INDEX(List!A:A,MATCH(SMALL(List!K:K,ROW(4:4)),List!K:K,0))</f>
        <v>Baborg</v>
      </c>
      <c r="Y8" s="2" t="str">
        <f>VLOOKUP($X8,List!$A$1:$U$374,2,FALSE)</f>
        <v>As the Mughals, assimilate at least 12 culture groups.</v>
      </c>
      <c r="Z8" s="3">
        <f>VLOOKUP($X8,List!$A$1:$U$374,3,FALSE)</f>
        <v>3.0000000000000001E-3</v>
      </c>
      <c r="AA8" s="6" t="str">
        <f>VLOOKUP($X8,List!$A$1:$U$374,4,FALSE)</f>
        <v>H</v>
      </c>
      <c r="AB8" s="26">
        <f>IF(VLOOKUP($X8,List!$A$1:$U$374,5,FALSE)="","",VLOOKUP($B8,List!$A$1:$U$374,5,FALSE))</f>
        <v>74.25</v>
      </c>
    </row>
    <row r="9" spans="1:28" ht="22.5" customHeight="1" x14ac:dyDescent="0.25">
      <c r="A9" s="14">
        <v>4</v>
      </c>
      <c r="B9" s="14" t="str" cm="1">
        <f t="array" ref="B9">INDEX(List!A:A,MATCH(SMALL(List!I:I,ROW(7:7)),List!I:I,0))</f>
        <v>The Hungarian Games</v>
      </c>
      <c r="C9" s="15" t="str">
        <f>VLOOKUP($B9,List!$A$1:$U$374,2,FALSE)</f>
        <v>Starting as Hungary, win 23 battles with the Black Army against at least 
12 different countries.</v>
      </c>
      <c r="D9" s="15" t="str">
        <f>VLOOKUP($B9,List!$A$1:$U$374,16,FALSE)</f>
        <v>Hungary</v>
      </c>
      <c r="E9" s="15" t="str">
        <f>VLOOKUP($B9,List!$A$1:$U$374,17,FALSE)</f>
        <v>- Is Hungary</v>
      </c>
      <c r="F9" s="15" t="str">
        <f>VLOOKUP($B9,List!$A$1:$U$374,18,FALSE)</f>
        <v>- Any hired mercenary company: 
- Is *“Black Army”*
- Is *“Black Army Reserves”*
- Has won at least *23* battles with these mercenary companies.
- For each enemy country, only a maximum of *3* battles are counted</v>
      </c>
      <c r="G9" s="15" t="str">
        <f>VLOOKUP($B9,List!$A$1:$U$374,19,FALSE)</f>
        <v>If there are multiple countries on the same side in the battle, only the 
country which is first in the tag order counts. Doesn't count battles 
fought when rented out as condottieri. The *“Black Army”* can be unlocked in 
the following ways, some of which also unlock the *“Black Army Reserves”*:</v>
      </c>
      <c r="H9" s="16">
        <f>VLOOKUP($B9,List!$A$1:$U$374,3,FALSE)</f>
        <v>3.0000000000000001E-3</v>
      </c>
      <c r="I9" s="17" t="str">
        <f>VLOOKUP($B9,List!$A$1:$U$374,4,FALSE)</f>
        <v>M</v>
      </c>
      <c r="J9" s="25">
        <f>IF(VLOOKUP($B9,List!$A$1:$U$374,5,FALSE)="","",VLOOKUP($B9,List!$A$1:$U$374,5,FALSE))</f>
        <v>74.25</v>
      </c>
      <c r="K9" s="18" t="str">
        <f>IF(VLOOKUP($B9,List!$A$1:$U$374,15,FALSE)="","",VLOOKUP($B9,List!$A$1:$U$374,15,FALSE))</f>
        <v>Y</v>
      </c>
      <c r="L9" s="14" t="str">
        <f>IF(VLOOKUP($B9,List!$A$1:$U$374,16,FALSE)="","",VLOOKUP($B9,List!$A$1:$U$374,16,FALSE))</f>
        <v>Hungary</v>
      </c>
      <c r="N9" s="14">
        <v>4</v>
      </c>
      <c r="O9" s="14" t="str" cm="1">
        <f t="array" ref="O9">INDEX(List!A:A,MATCH(SMALL(List!J:J,ROW(5:5)),List!J:J,0))</f>
        <v>The Hungarian Games</v>
      </c>
      <c r="P9" s="15" t="str">
        <f>VLOOKUP($O9,List!$A$1:$U$374,2,FALSE)</f>
        <v>Starting as Hungary, win 23 battles with the Black Army against at least 
12 different countries.</v>
      </c>
      <c r="Q9" s="16">
        <f>VLOOKUP($O9,List!$A$1:$U$374,3,FALSE)</f>
        <v>3.0000000000000001E-3</v>
      </c>
      <c r="R9" s="17" t="str">
        <f>VLOOKUP($O9,List!$A$1:$U$374,4,FALSE)</f>
        <v>M</v>
      </c>
      <c r="S9" s="25">
        <f>IF(VLOOKUP($O9,List!$A$1:$U$374,5,FALSE)="","",VLOOKUP($B9,List!$A$1:$U$374,5,FALSE))</f>
        <v>74.25</v>
      </c>
      <c r="T9" s="18" t="str">
        <f>IF(VLOOKUP($O9,List!$A$1:$U$374,15,FALSE)="","",VLOOKUP($O9,List!$A$1:$U$374,15,FALSE))</f>
        <v>Y</v>
      </c>
      <c r="U9" s="14" t="str">
        <f>IF(VLOOKUP($O9,List!$A$1:$U$374,16,FALSE)="","",VLOOKUP($O9,List!$A$1:$U$374,16,FALSE))</f>
        <v>Hungary</v>
      </c>
      <c r="W9" s="14">
        <v>4</v>
      </c>
      <c r="X9" s="1" t="str" cm="1">
        <f t="array" ref="X9">INDEX(List!A:A,MATCH(SMALL(List!K:K,ROW(5:5)),List!K:K,0))</f>
        <v>The Zoro-Austrians</v>
      </c>
      <c r="Y9" s="15" t="str">
        <f>VLOOKUP($X9,List!$A$1:$U$374,2,FALSE)</f>
        <v>Starting as Austria, convert to Zoroastrianism, and complete the Persian 
Zoroastrian missions.</v>
      </c>
      <c r="Z9" s="16">
        <f>VLOOKUP($X9,List!$A$1:$U$374,3,FALSE)</f>
        <v>3.0000000000000001E-3</v>
      </c>
      <c r="AA9" s="17" t="str">
        <f>VLOOKUP($X9,List!$A$1:$U$374,4,FALSE)</f>
        <v>H</v>
      </c>
      <c r="AB9" s="25">
        <f>IF(VLOOKUP($X9,List!$A$1:$U$374,5,FALSE)="","",VLOOKUP($B9,List!$A$1:$U$374,5,FALSE))</f>
        <v>74.25</v>
      </c>
    </row>
    <row r="10" spans="1:28" ht="22.5" customHeight="1" x14ac:dyDescent="0.25">
      <c r="A10" s="1">
        <v>5</v>
      </c>
      <c r="B10" s="1" t="str" cm="1">
        <f t="array" ref="B10">INDEX(List!A:A,MATCH(SMALL(List!I:I,ROW(8:8)),List!I:I,0))</f>
        <v>Hanukkah Mutapa</v>
      </c>
      <c r="C10" s="2" t="str">
        <f>VLOOKUP($B10,List!$A$1:$U$374,2,FALSE)</f>
        <v>Starting as Mutapa, convert to Judaism and celebrate a festival.</v>
      </c>
      <c r="D10" s="2" t="str">
        <f>VLOOKUP($B10,List!$A$1:$U$374,16,FALSE)</f>
        <v>Mutapa</v>
      </c>
      <c r="E10" s="2" t="str">
        <f>VLOOKUP($B10,List!$A$1:$U$374,17,FALSE)</f>
        <v>Playing as Mutapa</v>
      </c>
      <c r="F10" s="2" t="str">
        <f>VLOOKUP($B10,List!$A$1:$U$374,18,FALSE)</f>
        <v>- Religion is Jewish
- Has used the Jewish religion action *“Celebrate Festival”*</v>
      </c>
      <c r="G10" s="2" t="str">
        <f>VLOOKUP($B10,List!$A$1:$U$374,19,FALSE)</f>
        <v>This achievement is misspelled as *“Hannukah Mutapa”* in the steam version 
of the game. 
At the start of the game the 2 only Jewish provinces are in Ethiopia, due 
to Ethiopia's missions the AI will always pick the option to temporarily 
accept Jewish religion, giving you 25 years to take them. 
Mutapa's gold mines should allow you to go over force limit and quickly 
declare a war of conquest against Kilwa despite the technology 
disadvantage. With additional 3 gold mines in Butua after annexing vassal 
Butua and conquering Sofala and Kilwa even more mercenaries over force 
limit can be paid. Focus on military mana to not fall further behind 
Ethiopia and nations lying in the way to the jewish provinces.</v>
      </c>
      <c r="H10" s="3">
        <f>VLOOKUP($B10,List!$A$1:$U$374,3,FALSE)</f>
        <v>3.0000000000000001E-3</v>
      </c>
      <c r="I10" s="6" t="str">
        <f>VLOOKUP($B10,List!$A$1:$U$374,4,FALSE)</f>
        <v>M</v>
      </c>
      <c r="J10" s="26">
        <f>IF(VLOOKUP($B10,List!$A$1:$U$374,5,FALSE)="","",VLOOKUP($B10,List!$A$1:$U$374,5,FALSE))</f>
        <v>74.25</v>
      </c>
      <c r="K10" s="4" t="str">
        <f>IF(VLOOKUP($B10,List!$A$1:$U$374,15,FALSE)="","",VLOOKUP($B10,List!$A$1:$U$374,15,FALSE))</f>
        <v>Y</v>
      </c>
      <c r="L10" s="1" t="str">
        <f>IF(VLOOKUP($B10,List!$A$1:$U$374,16,FALSE)="","",VLOOKUP($B10,List!$A$1:$U$374,16,FALSE))</f>
        <v>Mutapa</v>
      </c>
      <c r="N10" s="1">
        <v>5</v>
      </c>
      <c r="O10" s="1" t="str" cm="1">
        <f t="array" ref="O10">INDEX(List!A:A,MATCH(SMALL(List!J:J,ROW(6:6)),List!J:J,0))</f>
        <v>Hanukkah Mutapa</v>
      </c>
      <c r="P10" s="2" t="str">
        <f>VLOOKUP($O10,List!$A$1:$U$374,2,FALSE)</f>
        <v>Starting as Mutapa, convert to Judaism and celebrate a festival.</v>
      </c>
      <c r="Q10" s="3">
        <f>VLOOKUP($O10,List!$A$1:$U$374,3,FALSE)</f>
        <v>3.0000000000000001E-3</v>
      </c>
      <c r="R10" s="6" t="str">
        <f>VLOOKUP($O10,List!$A$1:$U$374,4,FALSE)</f>
        <v>M</v>
      </c>
      <c r="S10" s="26">
        <f>IF(VLOOKUP($O10,List!$A$1:$U$374,5,FALSE)="","",VLOOKUP($B10,List!$A$1:$U$374,5,FALSE))</f>
        <v>74.25</v>
      </c>
      <c r="T10" s="4" t="str">
        <f>IF(VLOOKUP($O10,List!$A$1:$U$374,15,FALSE)="","",VLOOKUP($O10,List!$A$1:$U$374,15,FALSE))</f>
        <v>Y</v>
      </c>
      <c r="U10" s="1" t="str">
        <f>IF(VLOOKUP($O10,List!$A$1:$U$374,16,FALSE)="","",VLOOKUP($O10,List!$A$1:$U$374,16,FALSE))</f>
        <v>Mutapa</v>
      </c>
      <c r="W10" s="1">
        <v>5</v>
      </c>
      <c r="X10" s="1" t="str" cm="1">
        <f t="array" ref="X10">INDEX(List!A:A,MATCH(SMALL(List!K:K,ROW(6:6)),List!K:K,0))</f>
        <v>Australia-Hungary</v>
      </c>
      <c r="Y10" s="2" t="str">
        <f>VLOOKUP($X10,List!$A$1:$U$374,2,FALSE)</f>
        <v>Starting as an Australian tribe unite Australia and subjugate Hungary.</v>
      </c>
      <c r="Z10" s="3">
        <f>VLOOKUP($X10,List!$A$1:$U$374,3,FALSE)</f>
        <v>3.0000000000000001E-3</v>
      </c>
      <c r="AA10" s="6" t="str">
        <f>VLOOKUP($X10,List!$A$1:$U$374,4,FALSE)</f>
        <v>H</v>
      </c>
      <c r="AB10" s="26">
        <f>IF(VLOOKUP($X10,List!$A$1:$U$374,5,FALSE)="","",VLOOKUP($B10,List!$A$1:$U$374,5,FALSE))</f>
        <v>74.25</v>
      </c>
    </row>
    <row r="11" spans="1:28" ht="22.5" customHeight="1" x14ac:dyDescent="0.25">
      <c r="A11" s="14">
        <v>6</v>
      </c>
      <c r="B11" s="14" t="str" cm="1">
        <f t="array" ref="B11">INDEX(List!A:A,MATCH(SMALL(List!I:I,ROW(9:9)),List!I:I,0))</f>
        <v>The Freest Man in the World</v>
      </c>
      <c r="C11" s="15" t="str">
        <f>VLOOKUP($B11,List!$A$1:$U$374,2,FALSE)</f>
        <v>Ensure that no colonized province in the world produces slaves while 
having the War Against the World Doctrine government reform enacted.</v>
      </c>
      <c r="D11" s="15">
        <f>VLOOKUP($B11,List!$A$1:$U$374,16,FALSE)</f>
        <v>0</v>
      </c>
      <c r="E11" s="15">
        <f>VLOOKUP($B11,List!$A$1:$U$374,17,FALSE)</f>
        <v>0</v>
      </c>
      <c r="F11" s="15" t="str">
        <f>VLOOKUP($B11,List!$A$1:$U$374,18,FALSE)</f>
        <v>- Has enacted the Pirate Republic government reform
- Has enacted the War Against the World Doctrine government reform
- No fully colonized province in the world produces slaves</v>
      </c>
      <c r="G11" s="15" t="str">
        <f>VLOOKUP($B11,List!$A$1:$U$374,19,FALSE)</f>
        <v>Almost all slave provinces are on the African continent (except Azov). 
Palembang has a quick event which converts them into pirate republic, but 
they are Hindu and have mediocre ideas. An easier way is to start as Pasai 
and hoist the black flag: Pasai has better starting provinces, better 
ideas, and is Muslim, which makes alliance and AE easier. Alternatively, 
Gotland also becomes a pirate nation through event. Azov and the Ivory 
Coast are areas of contention with slaves which need to be rushed to asap. 
Kilwa has the best starting location and missions in Africa. Complete 
Prepare the Invasion mission to secure five provinces in Madagascar. Move 
Kilwa's capital to Zanzibar or Madagascar. Give the remaining provinces to 
Sofala and release the vassal, then Hoist the Black Flag
Can be done easily by releasing and playing as Cornwall after you conquer 
all slave provinces and abolish slavery, e.g. as England/Great Britain, 
because Cornwall's pirate event requires just 3 ships privateering. 
Maghrebi nation such as Tunis can sell non coastal provinces to meet the 
requirements, an alliance with the Ottomans and a proximity to Genoa help 
gaining Azov early in the game.</v>
      </c>
      <c r="H11" s="16">
        <f>VLOOKUP($B11,List!$A$1:$U$374,3,FALSE)</f>
        <v>3.0000000000000001E-3</v>
      </c>
      <c r="I11" s="17" t="str">
        <f>VLOOKUP($B11,List!$A$1:$U$374,4,FALSE)</f>
        <v>H</v>
      </c>
      <c r="J11" s="25">
        <f>IF(VLOOKUP($B11,List!$A$1:$U$374,5,FALSE)="","",VLOOKUP($B11,List!$A$1:$U$374,5,FALSE))</f>
        <v>148.5</v>
      </c>
      <c r="K11" s="18" t="str">
        <f>IF(VLOOKUP($B11,List!$A$1:$U$374,15,FALSE)="","",VLOOKUP($B11,List!$A$1:$U$374,15,FALSE))</f>
        <v/>
      </c>
      <c r="L11" s="14" t="str">
        <f>IF(VLOOKUP($B11,List!$A$1:$U$374,16,FALSE)="","",VLOOKUP($B11,List!$A$1:$U$374,16,FALSE))</f>
        <v/>
      </c>
      <c r="N11" s="14">
        <v>6</v>
      </c>
      <c r="O11" s="14" t="str" cm="1">
        <f t="array" ref="O11">INDEX(List!A:A,MATCH(SMALL(List!J:J,ROW(7:7)),List!J:J,0))</f>
        <v>Triple the Rome</v>
      </c>
      <c r="P11" s="15" t="str">
        <f>VLOOKUP($O11,List!$A$1:$U$374,2,FALSE)</f>
        <v>As Russia, be the Emperor of China and the HRE.</v>
      </c>
      <c r="Q11" s="16">
        <f>VLOOKUP($O11,List!$A$1:$U$374,3,FALSE)</f>
        <v>3.0000000000000001E-3</v>
      </c>
      <c r="R11" s="17" t="str">
        <f>VLOOKUP($O11,List!$A$1:$U$374,4,FALSE)</f>
        <v>H</v>
      </c>
      <c r="S11" s="25">
        <f>IF(VLOOKUP($O11,List!$A$1:$U$374,5,FALSE)="","",VLOOKUP($B11,List!$A$1:$U$374,5,FALSE))</f>
        <v>148.5</v>
      </c>
      <c r="T11" s="18" t="str">
        <f>IF(VLOOKUP($O11,List!$A$1:$U$374,15,FALSE)="","",VLOOKUP($O11,List!$A$1:$U$374,15,FALSE))</f>
        <v>Y</v>
      </c>
      <c r="U11" s="14" t="str">
        <f>IF(VLOOKUP($O11,List!$A$1:$U$374,16,FALSE)="","",VLOOKUP($O11,List!$A$1:$U$374,16,FALSE))</f>
        <v>Oirat</v>
      </c>
      <c r="W11" s="14">
        <v>6</v>
      </c>
      <c r="X11" s="1" t="str" cm="1">
        <f t="array" ref="X11">INDEX(List!A:A,MATCH(SMALL(List!K:K,ROW(7:7)),List!K:K,0))</f>
        <v>Mehmet's Ambition</v>
      </c>
      <c r="Y11" s="15" t="str">
        <f>VLOOKUP($X11,List!$A$1:$U$374,2,FALSE)</f>
        <v>Starting as The Ottomans, own or have Core Eyalets own all the provinces 
required to form the Roman Empire before 1500.</v>
      </c>
      <c r="Z11" s="16">
        <f>VLOOKUP($X11,List!$A$1:$U$374,3,FALSE)</f>
        <v>3.0000000000000001E-3</v>
      </c>
      <c r="AA11" s="17" t="str">
        <f>VLOOKUP($X11,List!$A$1:$U$374,4,FALSE)</f>
        <v>I</v>
      </c>
      <c r="AB11" s="25">
        <f>IF(VLOOKUP($X11,List!$A$1:$U$374,5,FALSE)="","",VLOOKUP($B11,List!$A$1:$U$374,5,FALSE))</f>
        <v>148.5</v>
      </c>
    </row>
    <row r="12" spans="1:28" ht="22.5" customHeight="1" x14ac:dyDescent="0.25">
      <c r="A12" s="1">
        <v>7</v>
      </c>
      <c r="B12" s="1" t="str" cm="1">
        <f t="array" ref="B12">INDEX(List!A:A,MATCH(SMALL(List!I:I,ROW(10:10)),List!I:I,0))</f>
        <v>Baborg</v>
      </c>
      <c r="C12" s="2" t="str">
        <f>VLOOKUP($B12,List!$A$1:$U$374,2,FALSE)</f>
        <v>As the Mughals, assimilate at least 12 culture groups.</v>
      </c>
      <c r="D12" s="2">
        <f>VLOOKUP($B12,List!$A$1:$U$374,16,FALSE)</f>
        <v>0</v>
      </c>
      <c r="E12" s="2">
        <f>VLOOKUP($B12,List!$A$1:$U$374,17,FALSE)</f>
        <v>0</v>
      </c>
      <c r="F12" s="2" t="str">
        <f>VLOOKUP($B12,List!$A$1:$U$374,18,FALSE)</f>
        <v>- Is Mughals
- Has enacted the Mughal Diwan government reform
- Has assimilated at least *12* culture groups</v>
      </c>
      <c r="G12" s="2">
        <f>VLOOKUP($B12,List!$A$1:$U$374,19,FALSE)</f>
        <v>0</v>
      </c>
      <c r="H12" s="3">
        <f>VLOOKUP($B12,List!$A$1:$U$374,3,FALSE)</f>
        <v>3.0000000000000001E-3</v>
      </c>
      <c r="I12" s="6" t="str">
        <f>VLOOKUP($B12,List!$A$1:$U$374,4,FALSE)</f>
        <v>H</v>
      </c>
      <c r="J12" s="26">
        <f>IF(VLOOKUP($B12,List!$A$1:$U$374,5,FALSE)="","",VLOOKUP($B12,List!$A$1:$U$374,5,FALSE))</f>
        <v>148.5</v>
      </c>
      <c r="K12" s="4" t="str">
        <f>IF(VLOOKUP($B12,List!$A$1:$U$374,15,FALSE)="","",VLOOKUP($B12,List!$A$1:$U$374,15,FALSE))</f>
        <v/>
      </c>
      <c r="L12" s="1" t="str">
        <f>IF(VLOOKUP($B12,List!$A$1:$U$374,16,FALSE)="","",VLOOKUP($B12,List!$A$1:$U$374,16,FALSE))</f>
        <v/>
      </c>
      <c r="N12" s="1">
        <v>7</v>
      </c>
      <c r="O12" s="1" t="str" cm="1">
        <f t="array" ref="O12">INDEX(List!A:A,MATCH(SMALL(List!J:J,ROW(8:8)),List!J:J,0))</f>
        <v>Ultimate Military</v>
      </c>
      <c r="P12" s="2" t="str">
        <f>VLOOKUP($O12,List!$A$1:$U$374,2,FALSE)</f>
        <v>As Songhai, have Prussia and Nepal as marches!</v>
      </c>
      <c r="Q12" s="3">
        <f>VLOOKUP($O12,List!$A$1:$U$374,3,FALSE)</f>
        <v>3.0000000000000001E-3</v>
      </c>
      <c r="R12" s="6" t="str">
        <f>VLOOKUP($O12,List!$A$1:$U$374,4,FALSE)</f>
        <v>H</v>
      </c>
      <c r="S12" s="26">
        <f>IF(VLOOKUP($O12,List!$A$1:$U$374,5,FALSE)="","",VLOOKUP($B12,List!$A$1:$U$374,5,FALSE))</f>
        <v>148.5</v>
      </c>
      <c r="T12" s="4" t="str">
        <f>IF(VLOOKUP($O12,List!$A$1:$U$374,15,FALSE)="","",VLOOKUP($O12,List!$A$1:$U$374,15,FALSE))</f>
        <v>Y</v>
      </c>
      <c r="U12" s="1" t="str">
        <f>IF(VLOOKUP($O12,List!$A$1:$U$374,16,FALSE)="","",VLOOKUP($O12,List!$A$1:$U$374,16,FALSE))</f>
        <v>Songhai</v>
      </c>
      <c r="W12" s="1">
        <v>7</v>
      </c>
      <c r="X12" s="1" t="str" cm="1">
        <f t="array" ref="X12">INDEX(List!A:A,MATCH(SMALL(List!K:K,ROW(8:8)),List!K:K,0))</f>
        <v>Stardust Crusaders</v>
      </c>
      <c r="Y12" s="2" t="str">
        <f>VLOOKUP($X12,List!$A$1:$U$374,2,FALSE)</f>
        <v>As Japan have the Land of the Christian Sun reform while Palestine and 
Cairo are Christian under us.</v>
      </c>
      <c r="Z12" s="3">
        <f>VLOOKUP($X12,List!$A$1:$U$374,3,FALSE)</f>
        <v>4.0000000000000001E-3</v>
      </c>
      <c r="AA12" s="6" t="str">
        <f>VLOOKUP($X12,List!$A$1:$U$374,4,FALSE)</f>
        <v>M</v>
      </c>
      <c r="AB12" s="26">
        <f>IF(VLOOKUP($X12,List!$A$1:$U$374,5,FALSE)="","",VLOOKUP($B12,List!$A$1:$U$374,5,FALSE))</f>
        <v>148.5</v>
      </c>
    </row>
    <row r="13" spans="1:28" ht="22.5" customHeight="1" x14ac:dyDescent="0.25">
      <c r="A13" s="14">
        <v>8</v>
      </c>
      <c r="B13" s="14" t="str" cm="1">
        <f t="array" ref="B13">INDEX(List!A:A,MATCH(SMALL(List!I:I,ROW(11:11)),List!I:I,0))</f>
        <v>Triple the Rome</v>
      </c>
      <c r="C13" s="15" t="str">
        <f>VLOOKUP($B13,List!$A$1:$U$374,2,FALSE)</f>
        <v>As Russia, be the Emperor of China and the HRE.</v>
      </c>
      <c r="D13" s="15" t="str">
        <f>VLOOKUP($B13,List!$A$1:$U$374,16,FALSE)</f>
        <v>Oirat</v>
      </c>
      <c r="E13" s="15">
        <f>VLOOKUP($B13,List!$A$1:$U$374,17,FALSE)</f>
        <v>0</v>
      </c>
      <c r="F13" s="15" t="str">
        <f>VLOOKUP($B13,List!$A$1:$U$374,18,FALSE)</f>
        <v>- Is Russia
- Is Emperor of China
- Is the emperor of the Holy Roman Empire</v>
      </c>
      <c r="G13" s="15" t="str">
        <f>VLOOKUP($B13,List!$A$1:$U$374,19,FALSE)</f>
        <v>To be Emperor of China, you must be in the Pagan or Eastern religion group, 
whilst to be the HRE Emperor, you generally must be Catholic unless Protestants 
won the league war, or sometimes other Christian denominations given 
specific circumstances (see League war), so a religion switch will be 
necessary to complete the achievement. Switching to a non-Christian 
religion as HRE Emperor will cause the emperorship to be lost unless the 
Erbkaisertum reform has been passed, while changing religion as Emperor of 
China allows you to retain the title. As such, it may be easiest to start 
as an atypical nation to form Russia such as Oirat, which starts off as Tengri 
and can use horde mechanics to relatively easily expand into the 
territories needed to form Russia. It is recommended to not seize the 
mandate until the needed provinces are conquered since seizing the mandate 
will change your government to Celestial Empire and disable horde 
mechanics. At this point, culture shift to Muscovite, Novgorodian or 
Ryazanian culture and form Russia once you hit admin tech 10. At some point 
you will need to conquer a Catholic province, perhaps from the Scandinavian 
or the Baltic regions, which will allow you to convert to Catholic via 
rebels. After seizing the Mandate of Heaven, convert to Catholicism, then 
ally or vassalize enough HRE electors to get yourself elected Holy Roman 
Emperor.</v>
      </c>
      <c r="H13" s="16">
        <f>VLOOKUP($B13,List!$A$1:$U$374,3,FALSE)</f>
        <v>3.0000000000000001E-3</v>
      </c>
      <c r="I13" s="17" t="str">
        <f>VLOOKUP($B13,List!$A$1:$U$374,4,FALSE)</f>
        <v>H</v>
      </c>
      <c r="J13" s="25">
        <f>IF(VLOOKUP($B13,List!$A$1:$U$374,5,FALSE)="","",VLOOKUP($B13,List!$A$1:$U$374,5,FALSE))</f>
        <v>148.5</v>
      </c>
      <c r="K13" s="18" t="str">
        <f>IF(VLOOKUP($B13,List!$A$1:$U$374,15,FALSE)="","",VLOOKUP($B13,List!$A$1:$U$374,15,FALSE))</f>
        <v>Y</v>
      </c>
      <c r="L13" s="14" t="str">
        <f>IF(VLOOKUP($B13,List!$A$1:$U$374,16,FALSE)="","",VLOOKUP($B13,List!$A$1:$U$374,16,FALSE))</f>
        <v>Oirat</v>
      </c>
      <c r="N13" s="14">
        <v>8</v>
      </c>
      <c r="O13" s="14" t="str" cm="1">
        <f t="array" ref="O13">INDEX(List!A:A,MATCH(SMALL(List!J:J,ROW(9:9)),List!J:J,0))</f>
        <v>The Eagle flies alone</v>
      </c>
      <c r="P13" s="15" t="str">
        <f>VLOOKUP($O13,List!$A$1:$U$374,2,FALSE)</f>
        <v>Starting as Hisn Kayfa, reach a forcelimit of 500k.</v>
      </c>
      <c r="Q13" s="16">
        <f>VLOOKUP($O13,List!$A$1:$U$374,3,FALSE)</f>
        <v>3.0000000000000001E-3</v>
      </c>
      <c r="R13" s="17" t="str">
        <f>VLOOKUP($O13,List!$A$1:$U$374,4,FALSE)</f>
        <v>VH</v>
      </c>
      <c r="S13" s="25">
        <f>IF(VLOOKUP($O13,List!$A$1:$U$374,5,FALSE)="","",VLOOKUP($B13,List!$A$1:$U$374,5,FALSE))</f>
        <v>148.5</v>
      </c>
      <c r="T13" s="18" t="str">
        <f>IF(VLOOKUP($O13,List!$A$1:$U$374,15,FALSE)="","",VLOOKUP($O13,List!$A$1:$U$374,15,FALSE))</f>
        <v>Y</v>
      </c>
      <c r="U13" s="14" t="str">
        <f>IF(VLOOKUP($O13,List!$A$1:$U$374,16,FALSE)="","",VLOOKUP($O13,List!$A$1:$U$374,16,FALSE))</f>
        <v>Hisn Kayfa</v>
      </c>
      <c r="W13" s="14">
        <v>8</v>
      </c>
      <c r="X13" s="1" t="str" cm="1">
        <f t="array" ref="X13">INDEX(List!A:A,MATCH(SMALL(List!K:K,ROW(9:9)),List!K:K,0))</f>
        <v>New, New Deli</v>
      </c>
      <c r="Y13" s="15" t="str">
        <f>VLOOKUP($X13,List!$A$1:$U$374,2,FALSE)</f>
        <v>As Deli, have your capital in the Delhi province.</v>
      </c>
      <c r="Z13" s="16">
        <f>VLOOKUP($X13,List!$A$1:$U$374,3,FALSE)</f>
        <v>4.0000000000000001E-3</v>
      </c>
      <c r="AA13" s="17" t="str">
        <f>VLOOKUP($X13,List!$A$1:$U$374,4,FALSE)</f>
        <v>H</v>
      </c>
      <c r="AB13" s="25">
        <f>IF(VLOOKUP($X13,List!$A$1:$U$374,5,FALSE)="","",VLOOKUP($B13,List!$A$1:$U$374,5,FALSE))</f>
        <v>148.5</v>
      </c>
    </row>
    <row r="14" spans="1:28" ht="22.5" customHeight="1" x14ac:dyDescent="0.25">
      <c r="A14" s="1">
        <v>9</v>
      </c>
      <c r="B14" s="1" t="str" cm="1">
        <f t="array" ref="B14">INDEX(List!A:A,MATCH(SMALL(List!I:I,ROW(12:12)),List!I:I,0))</f>
        <v>The Zoro-Austrians</v>
      </c>
      <c r="C14" s="2" t="str">
        <f>VLOOKUP($B14,List!$A$1:$U$374,2,FALSE)</f>
        <v>Starting as Austria, convert to Zoroastrianism, and complete the Persian 
Zoroastrian missions.</v>
      </c>
      <c r="D14" s="2">
        <f>VLOOKUP($B14,List!$A$1:$U$374,16,FALSE)</f>
        <v>0</v>
      </c>
      <c r="E14" s="2" t="str">
        <f>VLOOKUP($B14,List!$A$1:$U$374,17,FALSE)</f>
        <v>Is Austria</v>
      </c>
      <c r="F14" s="2" t="str">
        <f>VLOOKUP($B14,List!$A$1:$U$374,18,FALSE)</f>
        <v>- Is Persia*or*Eranshahr
- Has completed the mission A New Eranshahr mission
- Has completed the An Asha Empire mission</v>
      </c>
      <c r="G14" s="2">
        <f>VLOOKUP($B14,List!$A$1:$U$374,19,FALSE)</f>
        <v>0</v>
      </c>
      <c r="H14" s="3">
        <f>VLOOKUP($B14,List!$A$1:$U$374,3,FALSE)</f>
        <v>3.0000000000000001E-3</v>
      </c>
      <c r="I14" s="6" t="str">
        <f>VLOOKUP($B14,List!$A$1:$U$374,4,FALSE)</f>
        <v>H</v>
      </c>
      <c r="J14" s="26">
        <f>IF(VLOOKUP($B14,List!$A$1:$U$374,5,FALSE)="","",VLOOKUP($B14,List!$A$1:$U$374,5,FALSE))</f>
        <v>148.5</v>
      </c>
      <c r="K14" s="4" t="str">
        <f>IF(VLOOKUP($B14,List!$A$1:$U$374,15,FALSE)="","",VLOOKUP($B14,List!$A$1:$U$374,15,FALSE))</f>
        <v/>
      </c>
      <c r="L14" s="1" t="str">
        <f>IF(VLOOKUP($B14,List!$A$1:$U$374,16,FALSE)="","",VLOOKUP($B14,List!$A$1:$U$374,16,FALSE))</f>
        <v/>
      </c>
      <c r="N14" s="1">
        <v>9</v>
      </c>
      <c r="O14" s="1" t="str" cm="1">
        <f t="array" ref="O14">INDEX(List!A:A,MATCH(SMALL(List!J:J,ROW(10:10)),List!J:J,0))</f>
        <v>All Blue</v>
      </c>
      <c r="P14" s="2" t="str">
        <f>VLOOKUP($O14,List!$A$1:$U$374,2,FALSE)</f>
        <v>As Portugal, all of Europe is owned by you or blue European countries that 
exist in 1444.</v>
      </c>
      <c r="Q14" s="3">
        <f>VLOOKUP($O14,List!$A$1:$U$374,3,FALSE)</f>
        <v>3.0000000000000001E-3</v>
      </c>
      <c r="R14" s="6" t="str">
        <f>VLOOKUP($O14,List!$A$1:$U$374,4,FALSE)</f>
        <v>VH</v>
      </c>
      <c r="S14" s="26">
        <f>IF(VLOOKUP($O14,List!$A$1:$U$374,5,FALSE)="","",VLOOKUP($B14,List!$A$1:$U$374,5,FALSE))</f>
        <v>148.5</v>
      </c>
      <c r="T14" s="4" t="str">
        <f>IF(VLOOKUP($O14,List!$A$1:$U$374,15,FALSE)="","",VLOOKUP($O14,List!$A$1:$U$374,15,FALSE))</f>
        <v>Y</v>
      </c>
      <c r="U14" s="1" t="str">
        <f>IF(VLOOKUP($O14,List!$A$1:$U$374,16,FALSE)="","",VLOOKUP($O14,List!$A$1:$U$374,16,FALSE))</f>
        <v>Portugal</v>
      </c>
      <c r="W14" s="1">
        <v>9</v>
      </c>
      <c r="X14" s="1" t="str" cm="1">
        <f t="array" ref="X14">INDEX(List!A:A,MATCH(SMALL(List!K:K,ROW(10:10)),List!K:K,0))</f>
        <v>One nation to rule them all</v>
      </c>
      <c r="Y14" s="2" t="str">
        <f>VLOOKUP($X14,List!$A$1:$U$374,2,FALSE)</f>
        <v>As Saruhan, have at least 9 loyal vassals with at least 100 development 
each.</v>
      </c>
      <c r="Z14" s="3">
        <f>VLOOKUP($X14,List!$A$1:$U$374,3,FALSE)</f>
        <v>4.0000000000000001E-3</v>
      </c>
      <c r="AA14" s="6" t="str">
        <f>VLOOKUP($X14,List!$A$1:$U$374,4,FALSE)</f>
        <v>H</v>
      </c>
      <c r="AB14" s="26">
        <f>IF(VLOOKUP($X14,List!$A$1:$U$374,5,FALSE)="","",VLOOKUP($B14,List!$A$1:$U$374,5,FALSE))</f>
        <v>148.5</v>
      </c>
    </row>
    <row r="15" spans="1:28" ht="22.5" customHeight="1" x14ac:dyDescent="0.25">
      <c r="A15" s="14">
        <v>10</v>
      </c>
      <c r="B15" s="14" t="str" cm="1">
        <f t="array" ref="B15">INDEX(List!A:A,MATCH(SMALL(List!I:I,ROW(13:13)),List!I:I,0))</f>
        <v>Ultimate Military</v>
      </c>
      <c r="C15" s="15" t="str">
        <f>VLOOKUP($B15,List!$A$1:$U$374,2,FALSE)</f>
        <v>As Songhai, have Prussia and Nepal as marches!</v>
      </c>
      <c r="D15" s="15" t="str">
        <f>VLOOKUP($B15,List!$A$1:$U$374,16,FALSE)</f>
        <v>Songhai</v>
      </c>
      <c r="E15" s="15" t="str">
        <f>VLOOKUP($B15,List!$A$1:$U$374,17,FALSE)</f>
        <v>Playing as Songhai</v>
      </c>
      <c r="F15" s="15" t="str">
        <f>VLOOKUP($B15,List!$A$1:$U$374,18,FALSE)</f>
        <v>- Is Songhai
- Have Prussia*and*Nepal as marches.</v>
      </c>
      <c r="G15" s="15" t="str">
        <f>VLOOKUP($B15,List!$A$1:$U$374,19,FALSE)</f>
        <v>This achievement is only visible if the Origins DLC is active, but it is 
possible to get the achievement without that DLC. 
Songhai has a strong starting position, the main difficulty is making sure 
both Prussia and Nepal exist. Note that only Prussia can be formed by a 
subject nation, so you are better off giving a Nepali minor the required 
provinces by calling them to war as ally before subjugating them.</v>
      </c>
      <c r="H15" s="16">
        <f>VLOOKUP($B15,List!$A$1:$U$374,3,FALSE)</f>
        <v>3.0000000000000001E-3</v>
      </c>
      <c r="I15" s="17" t="str">
        <f>VLOOKUP($B15,List!$A$1:$U$374,4,FALSE)</f>
        <v>H</v>
      </c>
      <c r="J15" s="25">
        <f>IF(VLOOKUP($B15,List!$A$1:$U$374,5,FALSE)="","",VLOOKUP($B15,List!$A$1:$U$374,5,FALSE))</f>
        <v>148.5</v>
      </c>
      <c r="K15" s="18" t="str">
        <f>IF(VLOOKUP($B15,List!$A$1:$U$374,15,FALSE)="","",VLOOKUP($B15,List!$A$1:$U$374,15,FALSE))</f>
        <v>Y</v>
      </c>
      <c r="L15" s="14" t="str">
        <f>IF(VLOOKUP($B15,List!$A$1:$U$374,16,FALSE)="","",VLOOKUP($B15,List!$A$1:$U$374,16,FALSE))</f>
        <v>Songhai</v>
      </c>
      <c r="N15" s="14">
        <v>10</v>
      </c>
      <c r="O15" s="14" t="str" cm="1">
        <f t="array" ref="O15">INDEX(List!A:A,MATCH(SMALL(List!J:J,ROW(11:11)),List!J:J,0))</f>
        <v>Mets Hayk</v>
      </c>
      <c r="P15" s="15" t="str">
        <f>VLOOKUP($O15,List!$A$1:$U$374,2,FALSE)</f>
        <v>Starting as Karabakh, own, core, and convert to Coptic the borders of 
Great Armenia.</v>
      </c>
      <c r="Q15" s="16">
        <f>VLOOKUP($O15,List!$A$1:$U$374,3,FALSE)</f>
        <v>3.0000000000000001E-3</v>
      </c>
      <c r="R15" s="17" t="str">
        <f>VLOOKUP($O15,List!$A$1:$U$374,4,FALSE)</f>
        <v>VH</v>
      </c>
      <c r="S15" s="25">
        <f>IF(VLOOKUP($O15,List!$A$1:$U$374,5,FALSE)="","",VLOOKUP($B15,List!$A$1:$U$374,5,FALSE))</f>
        <v>148.5</v>
      </c>
      <c r="T15" s="18" t="str">
        <f>IF(VLOOKUP($O15,List!$A$1:$U$374,15,FALSE)="","",VLOOKUP($O15,List!$A$1:$U$374,15,FALSE))</f>
        <v>Y</v>
      </c>
      <c r="U15" s="14" t="str">
        <f>IF(VLOOKUP($O15,List!$A$1:$U$374,16,FALSE)="","",VLOOKUP($O15,List!$A$1:$U$374,16,FALSE))</f>
        <v>Karabakh</v>
      </c>
      <c r="W15" s="14">
        <v>10</v>
      </c>
      <c r="X15" s="1" t="str" cm="1">
        <f t="array" ref="X15">INDEX(List!A:A,MATCH(SMALL(List!K:K,ROW(11:11)),List!K:K,0))</f>
        <v>Almost Prussian Blue</v>
      </c>
      <c r="Y15" s="15" t="str">
        <f>VLOOKUP($X15,List!$A$1:$U$374,2,FALSE)</f>
        <v>Starting as the Livonian Order, form Livonia and own the territory of the 
North German Confederation as core provinces.</v>
      </c>
      <c r="Z15" s="16">
        <f>VLOOKUP($X15,List!$A$1:$U$374,3,FALSE)</f>
        <v>4.0000000000000001E-3</v>
      </c>
      <c r="AA15" s="17" t="str">
        <f>VLOOKUP($X15,List!$A$1:$U$374,4,FALSE)</f>
        <v>H</v>
      </c>
      <c r="AB15" s="25">
        <f>IF(VLOOKUP($X15,List!$A$1:$U$374,5,FALSE)="","",VLOOKUP($B15,List!$A$1:$U$374,5,FALSE))</f>
        <v>148.5</v>
      </c>
    </row>
    <row r="17" spans="1:28" ht="15.75" x14ac:dyDescent="0.25">
      <c r="A17" s="80" t="s">
        <v>1652</v>
      </c>
      <c r="B17" s="80"/>
      <c r="C17" s="80"/>
      <c r="D17" s="80"/>
      <c r="E17" s="80"/>
      <c r="F17" s="80"/>
      <c r="G17" s="80"/>
      <c r="H17" s="80"/>
      <c r="I17" s="80"/>
      <c r="J17" s="80"/>
      <c r="K17" s="80"/>
      <c r="L17" s="80"/>
      <c r="N17" s="83" t="s">
        <v>1651</v>
      </c>
      <c r="O17" s="83"/>
      <c r="P17" s="83"/>
      <c r="Q17" s="83"/>
      <c r="R17" s="83"/>
      <c r="S17" s="83"/>
      <c r="T17" s="83"/>
      <c r="U17" s="83"/>
      <c r="W17" s="84" t="s">
        <v>1653</v>
      </c>
      <c r="X17" s="84"/>
      <c r="Y17" s="84"/>
      <c r="Z17" s="84"/>
      <c r="AA17" s="84"/>
      <c r="AB17" s="22"/>
    </row>
    <row r="18" spans="1:28" ht="25.5" x14ac:dyDescent="0.25">
      <c r="A18" s="11" t="s">
        <v>1640</v>
      </c>
      <c r="B18" s="11" t="s">
        <v>634</v>
      </c>
      <c r="C18" s="11" t="s">
        <v>635</v>
      </c>
      <c r="D18" s="11" t="s">
        <v>766</v>
      </c>
      <c r="E18" s="11" t="s">
        <v>767</v>
      </c>
      <c r="F18" s="11" t="s">
        <v>1636</v>
      </c>
      <c r="G18" s="11" t="s">
        <v>1637</v>
      </c>
      <c r="H18" s="11" t="s">
        <v>637</v>
      </c>
      <c r="I18" s="11" t="s">
        <v>636</v>
      </c>
      <c r="J18" s="11" t="s">
        <v>1668</v>
      </c>
      <c r="K18" s="11" t="s">
        <v>754</v>
      </c>
      <c r="L18" s="11" t="s">
        <v>758</v>
      </c>
      <c r="N18" s="11" t="s">
        <v>1640</v>
      </c>
      <c r="O18" s="11" t="s">
        <v>634</v>
      </c>
      <c r="P18" s="11" t="s">
        <v>635</v>
      </c>
      <c r="Q18" s="11" t="s">
        <v>637</v>
      </c>
      <c r="R18" s="11" t="s">
        <v>636</v>
      </c>
      <c r="S18" s="11" t="s">
        <v>1668</v>
      </c>
      <c r="T18" s="11" t="s">
        <v>754</v>
      </c>
      <c r="U18" s="11" t="s">
        <v>758</v>
      </c>
      <c r="W18" s="11" t="s">
        <v>1640</v>
      </c>
      <c r="X18" s="11" t="s">
        <v>634</v>
      </c>
      <c r="Y18" s="11" t="s">
        <v>635</v>
      </c>
      <c r="Z18" s="11" t="s">
        <v>637</v>
      </c>
      <c r="AA18" s="11" t="s">
        <v>636</v>
      </c>
      <c r="AB18" s="11" t="s">
        <v>1668</v>
      </c>
    </row>
    <row r="19" spans="1:28" ht="22.5" customHeight="1" x14ac:dyDescent="0.25">
      <c r="A19" s="1">
        <v>1</v>
      </c>
      <c r="B19" s="1" t="str" cm="1">
        <f t="array" ref="B19">INDEX(List!A:A,MATCH(LARGE(List!L:L,ROW(4:4)),List!L:L,0))</f>
        <v>True Heir of Timur</v>
      </c>
      <c r="C19" s="2" t="str">
        <f>VLOOKUP($B19,List!$A$1:$U$374,2,FALSE)</f>
        <v>Starting as a Timurid subject, form the Mughals and conquer India by 1550.</v>
      </c>
      <c r="D19" s="2">
        <f>VLOOKUP($B19,List!$A$1:$U$374,16,FALSE)</f>
        <v>0</v>
      </c>
      <c r="E19" s="2" t="str">
        <f>VLOOKUP($B19,List!$A$1:$U$374,17,FALSE)</f>
        <v>- Playing as one of the following: 
- Afghanistan
- Sistan
- Transoxiana
- Khorasan
- Fars</v>
      </c>
      <c r="F19" s="2" t="str">
        <f>VLOOKUP($B19,List!$A$1:$U$374,18,FALSE)</f>
        <v>- Is Mughals
- The year is before 1550
- Every province in India superregion is owned by the country or a 
subject other than a tributary</v>
      </c>
      <c r="G19" s="2" t="str">
        <f>VLOOKUP($B19,List!$A$1:$U$374,19,FALSE)</f>
        <v>Easier in recent patches than when added. The strongest contenders are 
Afghanistan, which is the closest to India, and Transoxiana, which starts 
the strongest. Recommended ideas include Administrative for extremely cheap 
coring and Diplomatic to manage aggressive expansion and to truce break 
more easily if necessary.</v>
      </c>
      <c r="H19" s="3">
        <f>VLOOKUP($B19,List!$A$1:$U$374,3,FALSE)</f>
        <v>8.9999999999999993E-3</v>
      </c>
      <c r="I19" s="6" t="str">
        <f>VLOOKUP($B19,List!$A$1:$U$374,4,FALSE)</f>
        <v>I</v>
      </c>
      <c r="J19" s="24">
        <f>IF(VLOOKUP($B19,List!$A$1:$U$374,5,FALSE)="","",VLOOKUP($B19,List!$A$1:$U$374,5,FALSE))</f>
        <v>873</v>
      </c>
      <c r="K19" s="4" t="str">
        <f>IF(VLOOKUP($B19,List!$A$1:$U$374,15,FALSE)="","",VLOOKUP($B19,List!$A$1:$U$374,15,FALSE))</f>
        <v/>
      </c>
      <c r="L19" s="1" t="str">
        <f>IF(VLOOKUP($B19,List!$A$1:$U$374,16,FALSE)="","",VLOOKUP($B19,List!$A$1:$U$374,16,FALSE))</f>
        <v/>
      </c>
      <c r="N19" s="1">
        <v>1</v>
      </c>
      <c r="O19" s="1" t="str" cm="1">
        <f t="array" ref="O19">INDEX(List!A:A,MATCH(LARGE(List!M:M,ROW(2:2)),List!M:M,0))</f>
        <v>From Frankfurt to the Andes</v>
      </c>
      <c r="P19" s="2" t="str">
        <f>VLOOKUP($O19,List!$A$1:$U$374,2,FALSE)</f>
        <v>Starting as Frankfurt, form Jerusalem, and then form the Inca while owning 
Mallorca.</v>
      </c>
      <c r="Q19" s="3">
        <f>VLOOKUP($O19,List!$A$1:$U$374,3,FALSE)</f>
        <v>2E-3</v>
      </c>
      <c r="R19" s="6" t="str">
        <f>VLOOKUP($O19,List!$A$1:$U$374,4,FALSE)</f>
        <v>VH</v>
      </c>
      <c r="S19" s="24">
        <f>IF(VLOOKUP($O19,List!$A$1:$U$374,5,FALSE)="","",VLOOKUP($B19,List!$A$1:$U$374,5,FALSE))</f>
        <v>873</v>
      </c>
      <c r="T19" s="4" t="str">
        <f>IF(VLOOKUP($O19,List!$A$1:$U$374,15,FALSE)="","",VLOOKUP($O19,List!$A$1:$U$374,15,FALSE))</f>
        <v>Y</v>
      </c>
      <c r="U19" s="1" t="str">
        <f>IF(VLOOKUP($O19,List!$A$1:$U$374,16,FALSE)="","",VLOOKUP($O19,List!$A$1:$U$374,16,FALSE))</f>
        <v>Frankfurt</v>
      </c>
      <c r="W19" s="1">
        <v>1</v>
      </c>
      <c r="X19" s="1" t="str" cm="1">
        <f t="array" ref="X19">INDEX(List!A:A,MATCH(LARGE(List!N:N,ROW(2:2)),List!N:N,0))</f>
        <v>Eat your Greens</v>
      </c>
      <c r="Y19" s="2" t="str">
        <f>VLOOKUP($X19,List!$A$1:$U$374,2,FALSE)</f>
        <v>Control all Grasslands in Asia as Kale before the age of Absolutism.</v>
      </c>
      <c r="Z19" s="3">
        <f>VLOOKUP($X19,List!$A$1:$U$374,3,FALSE)</f>
        <v>5.0000000000000001E-3</v>
      </c>
      <c r="AA19" s="6" t="str">
        <f>VLOOKUP($X19,List!$A$1:$U$374,4,FALSE)</f>
        <v>I</v>
      </c>
      <c r="AB19" s="24">
        <f>IF(VLOOKUP($X19,List!$A$1:$U$374,5,FALSE)="","",VLOOKUP($B19,List!$A$1:$U$374,5,FALSE))</f>
        <v>873</v>
      </c>
    </row>
    <row r="20" spans="1:28" ht="22.5" customHeight="1" x14ac:dyDescent="0.25">
      <c r="A20" s="14">
        <v>2</v>
      </c>
      <c r="B20" s="14" t="str" cm="1">
        <f t="array" ref="B20">INDEX(List!A:A,MATCH(LARGE(List!L:L,ROW(5:5)),List!L:L,0))</f>
        <v>One Faith</v>
      </c>
      <c r="C20" s="15" t="str">
        <f>VLOOKUP($B20,List!$A$1:$U$374,2,FALSE)</f>
        <v>Have all non-wasteland land provinces in the world be of your religion.</v>
      </c>
      <c r="D20" s="15">
        <f>VLOOKUP($B20,List!$A$1:$U$374,16,FALSE)</f>
        <v>0</v>
      </c>
      <c r="E20" s="15">
        <f>VLOOKUP($B20,List!$A$1:$U$374,17,FALSE)</f>
        <v>0</v>
      </c>
      <c r="F20" s="15" t="str">
        <f>VLOOKUP($B20,List!$A$1:$U$374,18,FALSE)</f>
        <v>No colonized non-wasteland province has a different religion than this 
country.</v>
      </c>
      <c r="G20" s="15" t="str">
        <f>VLOOKUP($B20,List!$A$1:$U$374,19,FALSE)</f>
        <v>- Using the random new world will drastically reduce the number of 
provinces, especially inland ones, making this easier than with the true 
new world.
- Uncolonized provinces may still be of a different religion.
The easiest choice is either Austria or Ottomans, as both tags can conquer 
the world easily and have religions that have lots of missionaries and 
missionary strength buffs. The hardest faiths to One Faith with are the 
Pagan faiths (Animist, Tengri…), and Confucian with Mandate of Heaven. If 
playing as a Fetishist or Hindu nation, choose Buddhadharma or Buddha, 
respectively, to be able to use the Buddha statues and Pagan temples. Najd 
is a possible starting nation, since its ideas are religiously focused, 
including access to +2 missionaries and +2% missionary strength, as well as 
its starting religion of Sunni granting *−2%* local missionary strength 
which would make these provinces harder to convert. Possible to combine 
with Jihad.</v>
      </c>
      <c r="H20" s="16">
        <f>VLOOKUP($B20,List!$A$1:$U$374,3,FALSE)</f>
        <v>1.2999999999999999E-2</v>
      </c>
      <c r="I20" s="17" t="str">
        <f>VLOOKUP($B20,List!$A$1:$U$374,4,FALSE)</f>
        <v>I</v>
      </c>
      <c r="J20" s="25">
        <f>IF(VLOOKUP($B20,List!$A$1:$U$374,5,FALSE)="","",VLOOKUP($B20,List!$A$1:$U$374,5,FALSE))</f>
        <v>861</v>
      </c>
      <c r="K20" s="18" t="str">
        <f>IF(VLOOKUP($B20,List!$A$1:$U$374,15,FALSE)="","",VLOOKUP($B20,List!$A$1:$U$374,15,FALSE))</f>
        <v/>
      </c>
      <c r="L20" s="14" t="str">
        <f>IF(VLOOKUP($B20,List!$A$1:$U$374,16,FALSE)="","",VLOOKUP($B20,List!$A$1:$U$374,16,FALSE))</f>
        <v/>
      </c>
      <c r="N20" s="14">
        <v>2</v>
      </c>
      <c r="O20" s="14" t="str" cm="1">
        <f t="array" ref="O20">INDEX(List!A:A,MATCH(LARGE(List!M:M,ROW(3:3)),List!M:M,0))</f>
        <v>The Eagle flies alone</v>
      </c>
      <c r="P20" s="15" t="str">
        <f>VLOOKUP($O20,List!$A$1:$U$374,2,FALSE)</f>
        <v>Starting as Hisn Kayfa, reach a forcelimit of 500k.</v>
      </c>
      <c r="Q20" s="16">
        <f>VLOOKUP($O20,List!$A$1:$U$374,3,FALSE)</f>
        <v>3.0000000000000001E-3</v>
      </c>
      <c r="R20" s="17" t="str">
        <f>VLOOKUP($O20,List!$A$1:$U$374,4,FALSE)</f>
        <v>VH</v>
      </c>
      <c r="S20" s="25">
        <f>IF(VLOOKUP($O20,List!$A$1:$U$374,5,FALSE)="","",VLOOKUP($B20,List!$A$1:$U$374,5,FALSE))</f>
        <v>861</v>
      </c>
      <c r="T20" s="18" t="str">
        <f>IF(VLOOKUP($O20,List!$A$1:$U$374,15,FALSE)="","",VLOOKUP($O20,List!$A$1:$U$374,15,FALSE))</f>
        <v>Y</v>
      </c>
      <c r="U20" s="14" t="str">
        <f>IF(VLOOKUP($O20,List!$A$1:$U$374,16,FALSE)="","",VLOOKUP($O20,List!$A$1:$U$374,16,FALSE))</f>
        <v>Hisn Kayfa</v>
      </c>
      <c r="W20" s="14">
        <v>2</v>
      </c>
      <c r="X20" s="1" t="str" cm="1">
        <f t="array" ref="X20">INDEX(List!A:A,MATCH(LARGE(List!N:N,ROW(3:3)),List!N:N,0))</f>
        <v>True Heir of Timur</v>
      </c>
      <c r="Y20" s="15" t="str">
        <f>VLOOKUP($X20,List!$A$1:$U$374,2,FALSE)</f>
        <v>Starting as a Timurid subject, form the Mughals and conquer India by 1550.</v>
      </c>
      <c r="Z20" s="16">
        <f>VLOOKUP($X20,List!$A$1:$U$374,3,FALSE)</f>
        <v>8.9999999999999993E-3</v>
      </c>
      <c r="AA20" s="17" t="str">
        <f>VLOOKUP($X20,List!$A$1:$U$374,4,FALSE)</f>
        <v>I</v>
      </c>
      <c r="AB20" s="25">
        <f>IF(VLOOKUP($X20,List!$A$1:$U$374,5,FALSE)="","",VLOOKUP($B20,List!$A$1:$U$374,5,FALSE))</f>
        <v>861</v>
      </c>
    </row>
    <row r="21" spans="1:28" ht="22.5" customHeight="1" x14ac:dyDescent="0.25">
      <c r="A21" s="1">
        <v>3</v>
      </c>
      <c r="B21" s="1" t="str" cm="1">
        <f t="array" ref="B21">INDEX(List!A:A,MATCH(LARGE(List!L:L,ROW(6:6)),List!L:L,0))</f>
        <v>Legacy of Saint George</v>
      </c>
      <c r="C21" s="2" t="str">
        <f>VLOOKUP($B21,List!$A$1:$U$374,2,FALSE)</f>
        <v>As Georgia, have as vassals Genoa, Aragon, England and Trier or their 
successors, and control Wales.</v>
      </c>
      <c r="D21" s="2">
        <f>VLOOKUP($B21,List!$A$1:$U$374,16,FALSE)</f>
        <v>0</v>
      </c>
      <c r="E21" s="2">
        <f>VLOOKUP($B21,List!$A$1:$U$374,17,FALSE)</f>
        <v>0</v>
      </c>
      <c r="F21" s="2" t="str">
        <f>VLOOKUP($B21,List!$A$1:$U$374,18,FALSE)</f>
        <v>- Is Georgia
- Has the following countries (or countries formed by them) as vassals:
- 
- Genoa
- Aragon
- England
- Trier
- All provinces in the Wales area: 
- Are owned by the country or its non-tributary subjects</v>
      </c>
      <c r="G21" s="2" t="str">
        <f>VLOOKUP($B21,List!$A$1:$U$374,19,FALSE)</f>
        <v>If one of the countries forms another country(e.g. England forms Great 
Britain), the new country can be vassalized to get the achievement. If one 
of the countries dies, care must be taken that the cores don't expire, 
especially for Trier which is not the primary tag of its culture.</v>
      </c>
      <c r="H21" s="3">
        <f>VLOOKUP($B21,List!$A$1:$U$374,3,FALSE)</f>
        <v>2E-3</v>
      </c>
      <c r="I21" s="6" t="str">
        <f>VLOOKUP($B21,List!$A$1:$U$374,4,FALSE)</f>
        <v>VH</v>
      </c>
      <c r="J21" s="26">
        <f>IF(VLOOKUP($B21,List!$A$1:$U$374,5,FALSE)="","",VLOOKUP($B21,List!$A$1:$U$374,5,FALSE))</f>
        <v>298</v>
      </c>
      <c r="K21" s="4" t="str">
        <f>IF(VLOOKUP($B21,List!$A$1:$U$374,15,FALSE)="","",VLOOKUP($B21,List!$A$1:$U$374,15,FALSE))</f>
        <v/>
      </c>
      <c r="L21" s="1" t="str">
        <f>IF(VLOOKUP($B21,List!$A$1:$U$374,16,FALSE)="","",VLOOKUP($B21,List!$A$1:$U$374,16,FALSE))</f>
        <v/>
      </c>
      <c r="N21" s="1">
        <v>3</v>
      </c>
      <c r="O21" s="1" t="str" cm="1">
        <f t="array" ref="O21">INDEX(List!A:A,MATCH(LARGE(List!M:M,ROW(4:4)),List!M:M,0))</f>
        <v>All Blue</v>
      </c>
      <c r="P21" s="2" t="str">
        <f>VLOOKUP($O21,List!$A$1:$U$374,2,FALSE)</f>
        <v>As Portugal, all of Europe is owned by you or blue European countries that 
exist in 1444.</v>
      </c>
      <c r="Q21" s="3">
        <f>VLOOKUP($O21,List!$A$1:$U$374,3,FALSE)</f>
        <v>3.0000000000000001E-3</v>
      </c>
      <c r="R21" s="6" t="str">
        <f>VLOOKUP($O21,List!$A$1:$U$374,4,FALSE)</f>
        <v>VH</v>
      </c>
      <c r="S21" s="26">
        <f>IF(VLOOKUP($O21,List!$A$1:$U$374,5,FALSE)="","",VLOOKUP($B21,List!$A$1:$U$374,5,FALSE))</f>
        <v>298</v>
      </c>
      <c r="T21" s="4" t="str">
        <f>IF(VLOOKUP($O21,List!$A$1:$U$374,15,FALSE)="","",VLOOKUP($O21,List!$A$1:$U$374,15,FALSE))</f>
        <v>Y</v>
      </c>
      <c r="U21" s="1" t="str">
        <f>IF(VLOOKUP($O21,List!$A$1:$U$374,16,FALSE)="","",VLOOKUP($O21,List!$A$1:$U$374,16,FALSE))</f>
        <v>Portugal</v>
      </c>
      <c r="W21" s="1">
        <v>3</v>
      </c>
      <c r="X21" s="1" t="str" cm="1">
        <f t="array" ref="X21">INDEX(List!A:A,MATCH(LARGE(List!N:N,ROW(4:4)),List!N:N,0))</f>
        <v>One Faith</v>
      </c>
      <c r="Y21" s="2" t="str">
        <f>VLOOKUP($X21,List!$A$1:$U$374,2,FALSE)</f>
        <v>Have all non-wasteland land provinces in the world be of your religion.</v>
      </c>
      <c r="Z21" s="3">
        <f>VLOOKUP($X21,List!$A$1:$U$374,3,FALSE)</f>
        <v>1.2999999999999999E-2</v>
      </c>
      <c r="AA21" s="6" t="str">
        <f>VLOOKUP($X21,List!$A$1:$U$374,4,FALSE)</f>
        <v>I</v>
      </c>
      <c r="AB21" s="26">
        <f>IF(VLOOKUP($X21,List!$A$1:$U$374,5,FALSE)="","",VLOOKUP($B21,List!$A$1:$U$374,5,FALSE))</f>
        <v>298</v>
      </c>
    </row>
    <row r="22" spans="1:28" ht="22.5" customHeight="1" x14ac:dyDescent="0.25">
      <c r="A22" s="14">
        <v>4</v>
      </c>
      <c r="B22" s="14" t="str" cm="1">
        <f t="array" ref="B22">INDEX(List!A:A,MATCH(LARGE(List!L:L,ROW(7:7)),List!L:L,0))</f>
        <v>From Frankfurt to the Andes</v>
      </c>
      <c r="C22" s="15" t="str">
        <f>VLOOKUP($B22,List!$A$1:$U$374,2,FALSE)</f>
        <v>Starting as Frankfurt, form Jerusalem, and then form the Inca while owning 
Mallorca.</v>
      </c>
      <c r="D22" s="15" t="str">
        <f>VLOOKUP($B22,List!$A$1:$U$374,16,FALSE)</f>
        <v>Frankfurt</v>
      </c>
      <c r="E22" s="15" t="str">
        <f>VLOOKUP($B22,List!$A$1:$U$374,17,FALSE)</f>
        <v>Playing as Frankfurt</v>
      </c>
      <c r="F22" s="15" t="str">
        <f>VLOOKUP($B22,List!$A$1:$U$374,18,FALSE)</f>
        <v>- Was Frankfurt
- Was Jerusalem
- Is Inca
- Own Mallorca (333)</v>
      </c>
      <c r="G22" s="15" t="str">
        <f>VLOOKUP($B22,List!$A$1:$U$374,19,FALSE)</f>
        <v>- Hardest part of this achievement is finding and fulfilling conditions 
for different tag formation.
- To form Jerusalem, you need to get into coring range of Jerusalem area 
(vassalize an Italian minor and conquer a province next to it), own and 
state Jerusalem area, move capital to Arabia, Egypt or Mashriq and switch 
from Republic to Monarchy. And this has to be done before the Age of 
Reformation ends, because Frankfurt can't form Jerusalem later.
- To form Inca you need to move your capital to the New World, own cores 
on required provinces, culture shift to Andean culture and change your 
religion to a pagan faith via rebels.
- Switching to play as a released vassal will invalidate the achievement.</v>
      </c>
      <c r="H22" s="16">
        <f>VLOOKUP($B22,List!$A$1:$U$374,3,FALSE)</f>
        <v>2E-3</v>
      </c>
      <c r="I22" s="17" t="str">
        <f>VLOOKUP($B22,List!$A$1:$U$374,4,FALSE)</f>
        <v>VH</v>
      </c>
      <c r="J22" s="25">
        <f>IF(VLOOKUP($B22,List!$A$1:$U$374,5,FALSE)="","",VLOOKUP($B22,List!$A$1:$U$374,5,FALSE))</f>
        <v>298</v>
      </c>
      <c r="K22" s="18" t="str">
        <f>IF(VLOOKUP($B22,List!$A$1:$U$374,15,FALSE)="","",VLOOKUP($B22,List!$A$1:$U$374,15,FALSE))</f>
        <v>Y</v>
      </c>
      <c r="L22" s="14" t="str">
        <f>IF(VLOOKUP($B22,List!$A$1:$U$374,16,FALSE)="","",VLOOKUP($B22,List!$A$1:$U$374,16,FALSE))</f>
        <v>Frankfurt</v>
      </c>
      <c r="N22" s="14">
        <v>4</v>
      </c>
      <c r="O22" s="14" t="str" cm="1">
        <f t="array" ref="O22">INDEX(List!A:A,MATCH(LARGE(List!M:M,ROW(5:5)),List!M:M,0))</f>
        <v>Mets Hayk</v>
      </c>
      <c r="P22" s="15" t="str">
        <f>VLOOKUP($O22,List!$A$1:$U$374,2,FALSE)</f>
        <v>Starting as Karabakh, own, core, and convert to Coptic the borders of 
Great Armenia.</v>
      </c>
      <c r="Q22" s="16">
        <f>VLOOKUP($O22,List!$A$1:$U$374,3,FALSE)</f>
        <v>3.0000000000000001E-3</v>
      </c>
      <c r="R22" s="17" t="str">
        <f>VLOOKUP($O22,List!$A$1:$U$374,4,FALSE)</f>
        <v>VH</v>
      </c>
      <c r="S22" s="25">
        <f>IF(VLOOKUP($O22,List!$A$1:$U$374,5,FALSE)="","",VLOOKUP($B22,List!$A$1:$U$374,5,FALSE))</f>
        <v>298</v>
      </c>
      <c r="T22" s="18" t="str">
        <f>IF(VLOOKUP($O22,List!$A$1:$U$374,15,FALSE)="","",VLOOKUP($O22,List!$A$1:$U$374,15,FALSE))</f>
        <v>Y</v>
      </c>
      <c r="U22" s="14" t="str">
        <f>IF(VLOOKUP($O22,List!$A$1:$U$374,16,FALSE)="","",VLOOKUP($O22,List!$A$1:$U$374,16,FALSE))</f>
        <v>Karabakh</v>
      </c>
      <c r="W22" s="14">
        <v>4</v>
      </c>
      <c r="X22" s="1" t="str" cm="1">
        <f t="array" ref="X22">INDEX(List!A:A,MATCH(LARGE(List!N:N,ROW(5:5)),List!N:N,0))</f>
        <v>Legacy of Saint George</v>
      </c>
      <c r="Y22" s="15" t="str">
        <f>VLOOKUP($X22,List!$A$1:$U$374,2,FALSE)</f>
        <v>As Georgia, have as vassals Genoa, Aragon, England and Trier or their 
successors, and control Wales.</v>
      </c>
      <c r="Z22" s="16">
        <f>VLOOKUP($X22,List!$A$1:$U$374,3,FALSE)</f>
        <v>2E-3</v>
      </c>
      <c r="AA22" s="17" t="str">
        <f>VLOOKUP($X22,List!$A$1:$U$374,4,FALSE)</f>
        <v>VH</v>
      </c>
      <c r="AB22" s="25">
        <f>IF(VLOOKUP($X22,List!$A$1:$U$374,5,FALSE)="","",VLOOKUP($B22,List!$A$1:$U$374,5,FALSE))</f>
        <v>298</v>
      </c>
    </row>
    <row r="23" spans="1:28" ht="22.5" customHeight="1" x14ac:dyDescent="0.25">
      <c r="A23" s="1">
        <v>5</v>
      </c>
      <c r="B23" s="1" t="str" cm="1">
        <f t="array" ref="B23">INDEX(List!A:A,MATCH(LARGE(List!L:L,ROW(8:8)),List!L:L,0))</f>
        <v>The Eagle flies alone</v>
      </c>
      <c r="C23" s="2" t="str">
        <f>VLOOKUP($B23,List!$A$1:$U$374,2,FALSE)</f>
        <v>Starting as Hisn Kayfa, reach a forcelimit of 500k.</v>
      </c>
      <c r="D23" s="2" t="str">
        <f>VLOOKUP($B23,List!$A$1:$U$374,16,FALSE)</f>
        <v>Hisn Kayfa</v>
      </c>
      <c r="E23" s="2" t="str">
        <f>VLOOKUP($B23,List!$A$1:$U$374,17,FALSE)</f>
        <v>- Is Hisn Kayfa</v>
      </c>
      <c r="F23" s="2" t="str">
        <f>VLOOKUP($B23,List!$A$1:$U$374,18,FALSE)</f>
        <v>- Land force limit is at least 500</v>
      </c>
      <c r="G23" s="2">
        <f>VLOOKUP($B23,List!$A$1:$U$374,19,FALSE)</f>
        <v>0</v>
      </c>
      <c r="H23" s="3">
        <f>VLOOKUP($B23,List!$A$1:$U$374,3,FALSE)</f>
        <v>3.0000000000000001E-3</v>
      </c>
      <c r="I23" s="6" t="str">
        <f>VLOOKUP($B23,List!$A$1:$U$374,4,FALSE)</f>
        <v>VH</v>
      </c>
      <c r="J23" s="26">
        <f>IF(VLOOKUP($B23,List!$A$1:$U$374,5,FALSE)="","",VLOOKUP($B23,List!$A$1:$U$374,5,FALSE))</f>
        <v>297</v>
      </c>
      <c r="K23" s="4" t="str">
        <f>IF(VLOOKUP($B23,List!$A$1:$U$374,15,FALSE)="","",VLOOKUP($B23,List!$A$1:$U$374,15,FALSE))</f>
        <v>Y</v>
      </c>
      <c r="L23" s="1" t="str">
        <f>IF(VLOOKUP($B23,List!$A$1:$U$374,16,FALSE)="","",VLOOKUP($B23,List!$A$1:$U$374,16,FALSE))</f>
        <v>Hisn Kayfa</v>
      </c>
      <c r="N23" s="1">
        <v>5</v>
      </c>
      <c r="O23" s="1" t="str" cm="1">
        <f t="array" ref="O23">INDEX(List!A:A,MATCH(LARGE(List!M:M,ROW(6:6)),List!M:M,0))</f>
        <v>Crossing the Finnish Line</v>
      </c>
      <c r="P23" s="2" t="str">
        <f>VLOOKUP($O23,List!$A$1:$U$374,2,FALSE)</f>
        <v>Release and play as Finland in 1444 and have a direct land connection to 
the Cape while your capital is in Nyland/Uusimaa.</v>
      </c>
      <c r="Q23" s="3">
        <f>VLOOKUP($O23,List!$A$1:$U$374,3,FALSE)</f>
        <v>3.0000000000000001E-3</v>
      </c>
      <c r="R23" s="6" t="str">
        <f>VLOOKUP($O23,List!$A$1:$U$374,4,FALSE)</f>
        <v>VH</v>
      </c>
      <c r="S23" s="26">
        <f>IF(VLOOKUP($O23,List!$A$1:$U$374,5,FALSE)="","",VLOOKUP($B23,List!$A$1:$U$374,5,FALSE))</f>
        <v>297</v>
      </c>
      <c r="T23" s="4" t="str">
        <f>IF(VLOOKUP($O23,List!$A$1:$U$374,15,FALSE)="","",VLOOKUP($O23,List!$A$1:$U$374,15,FALSE))</f>
        <v>Y</v>
      </c>
      <c r="U23" s="1" t="str">
        <f>IF(VLOOKUP($O23,List!$A$1:$U$374,16,FALSE)="","",VLOOKUP($O23,List!$A$1:$U$374,16,FALSE))</f>
        <v>Sweden</v>
      </c>
      <c r="W23" s="1">
        <v>5</v>
      </c>
      <c r="X23" s="1" t="str" cm="1">
        <f t="array" ref="X23">INDEX(List!A:A,MATCH(LARGE(List!N:N,ROW(6:6)),List!N:N,0))</f>
        <v>I don't like sand</v>
      </c>
      <c r="Y23" s="2" t="str">
        <f>VLOOKUP($X23,List!$A$1:$U$374,2,FALSE)</f>
        <v>Have the most development while owning no province with terrain other than 
desert or coastal desert.</v>
      </c>
      <c r="Z23" s="3">
        <f>VLOOKUP($X23,List!$A$1:$U$374,3,FALSE)</f>
        <v>4.0000000000000001E-3</v>
      </c>
      <c r="AA23" s="6" t="str">
        <f>VLOOKUP($X23,List!$A$1:$U$374,4,FALSE)</f>
        <v>VH</v>
      </c>
      <c r="AB23" s="26">
        <f>IF(VLOOKUP($X23,List!$A$1:$U$374,5,FALSE)="","",VLOOKUP($B23,List!$A$1:$U$374,5,FALSE))</f>
        <v>297</v>
      </c>
    </row>
    <row r="24" spans="1:28" ht="22.5" customHeight="1" x14ac:dyDescent="0.25">
      <c r="A24" s="14">
        <v>6</v>
      </c>
      <c r="B24" s="14" t="str" cm="1">
        <f t="array" ref="B24">INDEX(List!A:A,MATCH(LARGE(List!L:L,ROW(9:9)),List!L:L,0))</f>
        <v>All Blue</v>
      </c>
      <c r="C24" s="15" t="str">
        <f>VLOOKUP($B24,List!$A$1:$U$374,2,FALSE)</f>
        <v>As Portugal, all of Europe is owned by you or blue European countries that 
exist in 1444.</v>
      </c>
      <c r="D24" s="15" t="str">
        <f>VLOOKUP($B24,List!$A$1:$U$374,16,FALSE)</f>
        <v>Portugal</v>
      </c>
      <c r="E24" s="15" t="str">
        <f>VLOOKUP($B24,List!$A$1:$U$374,17,FALSE)</f>
        <v>Playing as Portugal</v>
      </c>
      <c r="F24" s="15" t="str">
        <f>VLOOKUP($B24,List!$A$1:$U$374,18,FALSE)</f>
        <v>- Is Portugal
- All provinces in Europe are owned by one of the following countries: 
- Portugal
- Avaria
- Bavaria
- Bourbonnais
- Bremen
- Dithmarschen
- Dortmund
- Flanders
- France
- Glogow
- Herzegovina
- Hesse
- Imereti
- Ingolstadt
- Karaman
- Landshut
- Lorraine
- Mecklenburg
- Munich
- Naxos
- Norway
- Odoyev
- Perugia
- Provence
- Prussia
- Saluzzo
- Sardinia-Piedmont
- Sweden
- The Knights
- The Palatinate
- Thuringia
- Trebizond
- Tyrconnell
- Urbino
- Venice</v>
      </c>
      <c r="G24" s="15" t="str">
        <f>VLOOKUP($B24,List!$A$1:$U$374,19,FALSE)</f>
        <v>Note that Bavaria, Prussia and Sardinia-Piedmont count even though they 
don't exist in 1444. 
Make sure that none of the blue countries fulfill the conditions to form 
something which is not allowed.</v>
      </c>
      <c r="H24" s="16">
        <f>VLOOKUP($B24,List!$A$1:$U$374,3,FALSE)</f>
        <v>3.0000000000000001E-3</v>
      </c>
      <c r="I24" s="17" t="str">
        <f>VLOOKUP($B24,List!$A$1:$U$374,4,FALSE)</f>
        <v>VH</v>
      </c>
      <c r="J24" s="25">
        <f>IF(VLOOKUP($B24,List!$A$1:$U$374,5,FALSE)="","",VLOOKUP($B24,List!$A$1:$U$374,5,FALSE))</f>
        <v>297</v>
      </c>
      <c r="K24" s="18" t="str">
        <f>IF(VLOOKUP($B24,List!$A$1:$U$374,15,FALSE)="","",VLOOKUP($B24,List!$A$1:$U$374,15,FALSE))</f>
        <v>Y</v>
      </c>
      <c r="L24" s="14" t="str">
        <f>IF(VLOOKUP($B24,List!$A$1:$U$374,16,FALSE)="","",VLOOKUP($B24,List!$A$1:$U$374,16,FALSE))</f>
        <v>Portugal</v>
      </c>
      <c r="N24" s="14">
        <v>6</v>
      </c>
      <c r="O24" s="14" t="str" cm="1">
        <f t="array" ref="O24">INDEX(List!A:A,MATCH(LARGE(List!M:M,ROW(7:7)),List!M:M,0))</f>
        <v>Quizquiz Pro Quo</v>
      </c>
      <c r="P24" s="15" t="str">
        <f>VLOOKUP($O24,List!$A$1:$U$374,2,FALSE)</f>
        <v>As Quizquiz, have your capital in the Anjou province.</v>
      </c>
      <c r="Q24" s="16">
        <f>VLOOKUP($O24,List!$A$1:$U$374,3,FALSE)</f>
        <v>3.0000000000000001E-3</v>
      </c>
      <c r="R24" s="17" t="str">
        <f>VLOOKUP($O24,List!$A$1:$U$374,4,FALSE)</f>
        <v>VH</v>
      </c>
      <c r="S24" s="25">
        <f>IF(VLOOKUP($O24,List!$A$1:$U$374,5,FALSE)="","",VLOOKUP($B24,List!$A$1:$U$374,5,FALSE))</f>
        <v>297</v>
      </c>
      <c r="T24" s="18" t="str">
        <f>IF(VLOOKUP($O24,List!$A$1:$U$374,15,FALSE)="","",VLOOKUP($O24,List!$A$1:$U$374,15,FALSE))</f>
        <v>Y</v>
      </c>
      <c r="U24" s="14" t="str">
        <f>IF(VLOOKUP($O24,List!$A$1:$U$374,16,FALSE)="","",VLOOKUP($O24,List!$A$1:$U$374,16,FALSE))</f>
        <v>Quizquiz</v>
      </c>
      <c r="W24" s="14">
        <v>6</v>
      </c>
      <c r="X24" s="1" t="str" cm="1">
        <f t="array" ref="X24">INDEX(List!A:A,MATCH(LARGE(List!N:N,ROW(7:7)),List!N:N,0))</f>
        <v>Empire of Mann</v>
      </c>
      <c r="Y24" s="15" t="str">
        <f>VLOOKUP($X24,List!$A$1:$U$374,2,FALSE)</f>
        <v>As Mann, conquer all Islands in the world.</v>
      </c>
      <c r="Z24" s="16">
        <f>VLOOKUP($X24,List!$A$1:$U$374,3,FALSE)</f>
        <v>6.0000000000000001E-3</v>
      </c>
      <c r="AA24" s="17" t="str">
        <f>VLOOKUP($X24,List!$A$1:$U$374,4,FALSE)</f>
        <v>VH</v>
      </c>
      <c r="AB24" s="25">
        <f>IF(VLOOKUP($X24,List!$A$1:$U$374,5,FALSE)="","",VLOOKUP($B24,List!$A$1:$U$374,5,FALSE))</f>
        <v>297</v>
      </c>
    </row>
    <row r="25" spans="1:28" ht="22.5" customHeight="1" x14ac:dyDescent="0.25">
      <c r="A25" s="1">
        <v>7</v>
      </c>
      <c r="B25" s="1" t="str" cm="1">
        <f t="array" ref="B25">INDEX(List!A:A,MATCH(LARGE(List!L:L,ROW(10:10)),List!L:L,0))</f>
        <v>Mets Hayk</v>
      </c>
      <c r="C25" s="2" t="str">
        <f>VLOOKUP($B25,List!$A$1:$U$374,2,FALSE)</f>
        <v>Starting as Karabakh, own, core, and convert to Coptic the borders of 
Great Armenia.</v>
      </c>
      <c r="D25" s="2" t="str">
        <f>VLOOKUP($B25,List!$A$1:$U$374,16,FALSE)</f>
        <v>Karabakh</v>
      </c>
      <c r="E25" s="2" t="str">
        <f>VLOOKUP($B25,List!$A$1:$U$374,17,FALSE)</f>
        <v>- Playing as Karabakh</v>
      </c>
      <c r="F25" s="2" t="str">
        <f>VLOOKUP($B25,List!$A$1:$U$374,18,FALSE)</f>
        <v>- Religion is Coptic
- Owns core provinces following the Coptic faith:
- 
- Erzurum (331)
- Yerevan (419)
- Melikates (2202)
- Nakhchivan (2205)
- Erzincan (2305)
- Van (2307)
- Mush (2306)
- Bayazid (2306)
- Adana (327) 
1 province in each of the following areas is owned, cored, and follows the 
Coptic faith: 
- 
- Azerbaijan
- Shahrizor
- Al Jazira
- Dulkadir
- Aleppo
- Syria
- Syrian Desert</v>
      </c>
      <c r="G25" s="2" t="str">
        <f>VLOOKUP($B25,List!$A$1:$U$374,19,FALSE)</f>
        <v>If you can get Mamluks to support your independence, the first war is 
relatively easy. Once you've grown moderately, try to get European allies 
as soon as possible to help taking provinces from Ottomans and Mamluks.</v>
      </c>
      <c r="H25" s="3">
        <f>VLOOKUP($B25,List!$A$1:$U$374,3,FALSE)</f>
        <v>3.0000000000000001E-3</v>
      </c>
      <c r="I25" s="6" t="str">
        <f>VLOOKUP($B25,List!$A$1:$U$374,4,FALSE)</f>
        <v>VH</v>
      </c>
      <c r="J25" s="26">
        <f>IF(VLOOKUP($B25,List!$A$1:$U$374,5,FALSE)="","",VLOOKUP($B25,List!$A$1:$U$374,5,FALSE))</f>
        <v>297</v>
      </c>
      <c r="K25" s="4" t="str">
        <f>IF(VLOOKUP($B25,List!$A$1:$U$374,15,FALSE)="","",VLOOKUP($B25,List!$A$1:$U$374,15,FALSE))</f>
        <v>Y</v>
      </c>
      <c r="L25" s="1" t="str">
        <f>IF(VLOOKUP($B25,List!$A$1:$U$374,16,FALSE)="","",VLOOKUP($B25,List!$A$1:$U$374,16,FALSE))</f>
        <v>Karabakh</v>
      </c>
      <c r="N25" s="1">
        <v>7</v>
      </c>
      <c r="O25" s="1" t="str" cm="1">
        <f t="array" ref="O25">INDEX(List!A:A,MATCH(LARGE(List!M:M,ROW(8:8)),List!M:M,0))</f>
        <v>Inner Turmoil</v>
      </c>
      <c r="P25" s="2" t="str">
        <f>VLOOKUP($O25,List!$A$1:$U$374,2,FALSE)</f>
        <v>Starting as The Isles, own 20 provinces by 1500, none of which are on 
Islands.</v>
      </c>
      <c r="Q25" s="3">
        <f>VLOOKUP($O25,List!$A$1:$U$374,3,FALSE)</f>
        <v>4.0000000000000001E-3</v>
      </c>
      <c r="R25" s="6" t="str">
        <f>VLOOKUP($O25,List!$A$1:$U$374,4,FALSE)</f>
        <v>VH</v>
      </c>
      <c r="S25" s="26">
        <f>IF(VLOOKUP($O25,List!$A$1:$U$374,5,FALSE)="","",VLOOKUP($B25,List!$A$1:$U$374,5,FALSE))</f>
        <v>297</v>
      </c>
      <c r="T25" s="4" t="str">
        <f>IF(VLOOKUP($O25,List!$A$1:$U$374,15,FALSE)="","",VLOOKUP($O25,List!$A$1:$U$374,15,FALSE))</f>
        <v>Y</v>
      </c>
      <c r="U25" s="1" t="str">
        <f>IF(VLOOKUP($O25,List!$A$1:$U$374,16,FALSE)="","",VLOOKUP($O25,List!$A$1:$U$374,16,FALSE))</f>
        <v>The Isles</v>
      </c>
      <c r="W25" s="1">
        <v>7</v>
      </c>
      <c r="X25" s="1" t="str" cm="1">
        <f t="array" ref="X25">INDEX(List!A:A,MATCH(LARGE(List!N:N,ROW(8:8)),List!N:N,0))</f>
        <v>Great Perm</v>
      </c>
      <c r="Y25" s="2" t="str">
        <f>VLOOKUP($X25,List!$A$1:$U$374,2,FALSE)</f>
        <v>As Perm, own or have a subject own the Russian, Siberian, Scandinavian, 
Canadian, Hudson Bay and Cascadian Regions.</v>
      </c>
      <c r="Z25" s="3">
        <f>VLOOKUP($X25,List!$A$1:$U$374,3,FALSE)</f>
        <v>7.0000000000000001E-3</v>
      </c>
      <c r="AA25" s="6" t="str">
        <f>VLOOKUP($X25,List!$A$1:$U$374,4,FALSE)</f>
        <v>VH</v>
      </c>
      <c r="AB25" s="26">
        <f>IF(VLOOKUP($X25,List!$A$1:$U$374,5,FALSE)="","",VLOOKUP($B25,List!$A$1:$U$374,5,FALSE))</f>
        <v>297</v>
      </c>
    </row>
    <row r="26" spans="1:28" ht="22.5" customHeight="1" x14ac:dyDescent="0.25">
      <c r="A26" s="14">
        <v>8</v>
      </c>
      <c r="B26" s="14" t="str" cm="1">
        <f t="array" ref="B26">INDEX(List!A:A,MATCH(LARGE(List!L:L,ROW(11:11)),List!L:L,0))</f>
        <v>Crossing the Finnish Line</v>
      </c>
      <c r="C26" s="15" t="str">
        <f>VLOOKUP($B26,List!$A$1:$U$374,2,FALSE)</f>
        <v>Release and play as Finland in 1444 and have a direct land connection to 
the Cape while your capital is in Nyland/Uusimaa.</v>
      </c>
      <c r="D26" s="15" t="str">
        <f>VLOOKUP($B26,List!$A$1:$U$374,16,FALSE)</f>
        <v>Sweden</v>
      </c>
      <c r="E26" s="15" t="str">
        <f>VLOOKUP($B26,List!$A$1:$U$374,17,FALSE)</f>
        <v>Playing as Sweden</v>
      </c>
      <c r="F26" s="15" t="str">
        <f>VLOOKUP($B26,List!$A$1:$U$374,18,FALSE)</f>
        <v>- Finland has been released in 1444
- Is *or* was Finland
- Capital is Nyland(28)
- Owns Cape(1177)
- There exists a land connection of owned provinces between the capital 
and Cape(1177)</v>
      </c>
      <c r="G26" s="15" t="str">
        <f>VLOOKUP($B26,List!$A$1:$U$374,19,FALSE)</f>
        <v>The land connection can go over strait crossings (it is recommended to 
avoid taking Suez as to not anger the Ottomans). Finland must be released 
in 1444, but you do not have to play as them in 1444. Consider making them 
a vassal, feeding them the provinces required, annexing them, the releasing 
and playing as them after annexing them. This gives you access to the 
Sweden mission tree and power base to work with.</v>
      </c>
      <c r="H26" s="16">
        <f>VLOOKUP($B26,List!$A$1:$U$374,3,FALSE)</f>
        <v>3.0000000000000001E-3</v>
      </c>
      <c r="I26" s="17" t="str">
        <f>VLOOKUP($B26,List!$A$1:$U$374,4,FALSE)</f>
        <v>VH</v>
      </c>
      <c r="J26" s="25">
        <f>IF(VLOOKUP($B26,List!$A$1:$U$374,5,FALSE)="","",VLOOKUP($B26,List!$A$1:$U$374,5,FALSE))</f>
        <v>297</v>
      </c>
      <c r="K26" s="18" t="str">
        <f>IF(VLOOKUP($B26,List!$A$1:$U$374,15,FALSE)="","",VLOOKUP($B26,List!$A$1:$U$374,15,FALSE))</f>
        <v>Y</v>
      </c>
      <c r="L26" s="14" t="str">
        <f>IF(VLOOKUP($B26,List!$A$1:$U$374,16,FALSE)="","",VLOOKUP($B26,List!$A$1:$U$374,16,FALSE))</f>
        <v>Sweden</v>
      </c>
      <c r="N26" s="14">
        <v>8</v>
      </c>
      <c r="O26" s="14" t="str" cm="1">
        <f t="array" ref="O26">INDEX(List!A:A,MATCH(LARGE(List!M:M,ROW(9:9)),List!M:M,0))</f>
        <v>Around the World in 80 Years</v>
      </c>
      <c r="P26" s="15" t="str">
        <f>VLOOKUP($O26,List!$A$1:$U$374,2,FALSE)</f>
        <v>Starting as a Custom Nation of up to 400 points in the British Region, own 
New York, San Francisco, Suez, Bombay, Calcutta, Hong Kong and Yokohama by 
1524.11.11.</v>
      </c>
      <c r="Q26" s="16">
        <f>VLOOKUP($O26,List!$A$1:$U$374,3,FALSE)</f>
        <v>6.0000000000000001E-3</v>
      </c>
      <c r="R26" s="17" t="str">
        <f>VLOOKUP($O26,List!$A$1:$U$374,4,FALSE)</f>
        <v>VH</v>
      </c>
      <c r="S26" s="25">
        <f>IF(VLOOKUP($O26,List!$A$1:$U$374,5,FALSE)="","",VLOOKUP($B26,List!$A$1:$U$374,5,FALSE))</f>
        <v>297</v>
      </c>
      <c r="T26" s="18" t="str">
        <f>IF(VLOOKUP($O26,List!$A$1:$U$374,15,FALSE)="","",VLOOKUP($O26,List!$A$1:$U$374,15,FALSE))</f>
        <v>Y</v>
      </c>
      <c r="U26" s="14" t="str">
        <f>IF(VLOOKUP($O26,List!$A$1:$U$374,16,FALSE)="","",VLOOKUP($O26,List!$A$1:$U$374,16,FALSE))</f>
        <v>Custom</v>
      </c>
      <c r="W26" s="14">
        <v>8</v>
      </c>
      <c r="X26" s="1" t="str" cm="1">
        <f t="array" ref="X26">INDEX(List!A:A,MATCH(LARGE(List!N:N,ROW(9:9)),List!N:N,0))</f>
        <v>Spanish Fly</v>
      </c>
      <c r="Y26" s="15" t="str">
        <f>VLOOKUP($X26,List!$A$1:$U$374,2,FALSE)</f>
        <v>Starting as Offaly, secure a Personal Union over an Iberian nation.</v>
      </c>
      <c r="Z26" s="16">
        <f>VLOOKUP($X26,List!$A$1:$U$374,3,FALSE)</f>
        <v>7.0000000000000001E-3</v>
      </c>
      <c r="AA26" s="17" t="str">
        <f>VLOOKUP($X26,List!$A$1:$U$374,4,FALSE)</f>
        <v>VH</v>
      </c>
      <c r="AB26" s="25">
        <f>IF(VLOOKUP($X26,List!$A$1:$U$374,5,FALSE)="","",VLOOKUP($B26,List!$A$1:$U$374,5,FALSE))</f>
        <v>297</v>
      </c>
    </row>
    <row r="27" spans="1:28" ht="22.5" customHeight="1" x14ac:dyDescent="0.25">
      <c r="A27" s="1">
        <v>9</v>
      </c>
      <c r="B27" s="1" t="str" cm="1">
        <f t="array" ref="B27">INDEX(List!A:A,MATCH(LARGE(List!L:L,ROW(12:12)),List!L:L,0))</f>
        <v>Quizquiz Pro Quo</v>
      </c>
      <c r="C27" s="2" t="str">
        <f>VLOOKUP($B27,List!$A$1:$U$374,2,FALSE)</f>
        <v>As Quizquiz, have your capital in the Anjou province.</v>
      </c>
      <c r="D27" s="2" t="str">
        <f>VLOOKUP($B27,List!$A$1:$U$374,16,FALSE)</f>
        <v>Quizquiz</v>
      </c>
      <c r="E27" s="2" t="str">
        <f>VLOOKUP($B27,List!$A$1:$U$374,17,FALSE)</f>
        <v>- Playing as Quizquiz
- *Not* using a random New World</v>
      </c>
      <c r="F27" s="2" t="str">
        <f>VLOOKUP($B27,List!$A$1:$U$374,18,FALSE)</f>
        <v>- Is Quizquiz
- Capital is Anjou (178)</v>
      </c>
      <c r="G27" s="2" t="str">
        <f>VLOOKUP($B27,List!$A$1:$U$374,19,FALSE)</f>
        <v>This achievement is only visible if the Leviathan DLC is active, but it can 
be achieved even without the DLC.</v>
      </c>
      <c r="H27" s="3">
        <f>VLOOKUP($B27,List!$A$1:$U$374,3,FALSE)</f>
        <v>3.0000000000000001E-3</v>
      </c>
      <c r="I27" s="6" t="str">
        <f>VLOOKUP($B27,List!$A$1:$U$374,4,FALSE)</f>
        <v>VH</v>
      </c>
      <c r="J27" s="26">
        <f>IF(VLOOKUP($B27,List!$A$1:$U$374,5,FALSE)="","",VLOOKUP($B27,List!$A$1:$U$374,5,FALSE))</f>
        <v>297</v>
      </c>
      <c r="K27" s="4" t="str">
        <f>IF(VLOOKUP($B27,List!$A$1:$U$374,15,FALSE)="","",VLOOKUP($B27,List!$A$1:$U$374,15,FALSE))</f>
        <v>Y</v>
      </c>
      <c r="L27" s="1" t="str">
        <f>IF(VLOOKUP($B27,List!$A$1:$U$374,16,FALSE)="","",VLOOKUP($B27,List!$A$1:$U$374,16,FALSE))</f>
        <v>Quizquiz</v>
      </c>
      <c r="N27" s="1">
        <v>9</v>
      </c>
      <c r="O27" s="1" t="str" cm="1">
        <f t="array" ref="O27">INDEX(List!A:A,MATCH(LARGE(List!M:M,ROW(10:10)),List!M:M,0))</f>
        <v>Basque in Glory</v>
      </c>
      <c r="P27" s="2" t="str">
        <f>VLOOKUP($O27,List!$A$1:$U$374,2,FALSE)</f>
        <v>Starting as Navarra, ensure that most of Iberia is Basque culture before 
the Age of Absolutism.</v>
      </c>
      <c r="Q27" s="3">
        <f>VLOOKUP($O27,List!$A$1:$U$374,3,FALSE)</f>
        <v>7.0000000000000001E-3</v>
      </c>
      <c r="R27" s="6" t="str">
        <f>VLOOKUP($O27,List!$A$1:$U$374,4,FALSE)</f>
        <v>VH</v>
      </c>
      <c r="S27" s="26">
        <f>IF(VLOOKUP($O27,List!$A$1:$U$374,5,FALSE)="","",VLOOKUP($B27,List!$A$1:$U$374,5,FALSE))</f>
        <v>297</v>
      </c>
      <c r="T27" s="4" t="str">
        <f>IF(VLOOKUP($O27,List!$A$1:$U$374,15,FALSE)="","",VLOOKUP($O27,List!$A$1:$U$374,15,FALSE))</f>
        <v>Y</v>
      </c>
      <c r="U27" s="1" t="str">
        <f>IF(VLOOKUP($O27,List!$A$1:$U$374,16,FALSE)="","",VLOOKUP($O27,List!$A$1:$U$374,16,FALSE))</f>
        <v>Navarra</v>
      </c>
      <c r="W27" s="1">
        <v>9</v>
      </c>
      <c r="X27" s="1" t="str" cm="1">
        <f t="array" ref="X27">INDEX(List!A:A,MATCH(LARGE(List!N:N,ROW(10:10)),List!N:N,0))</f>
        <v>Raja of the Rajput Reich</v>
      </c>
      <c r="Y27" s="2" t="str">
        <f>VLOOKUP($X27,List!$A$1:$U$374,2,FALSE)</f>
        <v>Conquer all of Germany as Nagaur.</v>
      </c>
      <c r="Z27" s="3">
        <f>VLOOKUP($X27,List!$A$1:$U$374,3,FALSE)</f>
        <v>8.0000000000000002E-3</v>
      </c>
      <c r="AA27" s="6" t="str">
        <f>VLOOKUP($X27,List!$A$1:$U$374,4,FALSE)</f>
        <v>VH</v>
      </c>
      <c r="AB27" s="26">
        <f>IF(VLOOKUP($X27,List!$A$1:$U$374,5,FALSE)="","",VLOOKUP($B27,List!$A$1:$U$374,5,FALSE))</f>
        <v>297</v>
      </c>
    </row>
    <row r="28" spans="1:28" ht="22.5" customHeight="1" x14ac:dyDescent="0.25">
      <c r="A28" s="14">
        <v>10</v>
      </c>
      <c r="B28" s="14" t="str" cm="1">
        <f t="array" ref="B28">INDEX(List!A:A,MATCH(LARGE(List!L:L,ROW(13:13)),List!L:L,0))</f>
        <v>I don't like sand</v>
      </c>
      <c r="C28" s="15" t="str">
        <f>VLOOKUP($B28,List!$A$1:$U$374,2,FALSE)</f>
        <v>Have the most development while owning no province with terrain other than 
desert or coastal desert.</v>
      </c>
      <c r="D28" s="15">
        <f>VLOOKUP($B28,List!$A$1:$U$374,16,FALSE)</f>
        <v>0</v>
      </c>
      <c r="E28" s="15" t="str">
        <f>VLOOKUP($B28,List!$A$1:$U$374,17,FALSE)</f>
        <v>*Not* using a random New World</v>
      </c>
      <c r="F28" s="15" t="str">
        <f>VLOOKUP($B28,List!$A$1:$U$374,18,FALSE)</f>
        <v>- All provinces are either desert or coastal desert
- No other country has a higher development than this country
All desert and coastal desert provinces</v>
      </c>
      <c r="G28" s="15" t="str">
        <f>VLOOKUP($B28,List!$A$1:$U$374,19,FALSE)</f>
        <v>Easiest as Ajuuraan or the Mamluks, because of their national ideas and the 
"Hydraulic Rights" estate privilege (which reduces the additional cost from 
developing deserts and coastal desert by half), that is unlocked through a 
mission in Origins DLC. Forming Arabia (possibly via Yemen to avoid the 
tech requirement) will unlock the similar "Oasis Development" privilege, 
which stacks with "Hydraulic Rights"</v>
      </c>
      <c r="H28" s="16">
        <f>VLOOKUP($B28,List!$A$1:$U$374,3,FALSE)</f>
        <v>4.0000000000000001E-3</v>
      </c>
      <c r="I28" s="17" t="str">
        <f>VLOOKUP($B28,List!$A$1:$U$374,4,FALSE)</f>
        <v>VH</v>
      </c>
      <c r="J28" s="25">
        <f>IF(VLOOKUP($B28,List!$A$1:$U$374,5,FALSE)="","",VLOOKUP($B28,List!$A$1:$U$374,5,FALSE))</f>
        <v>296</v>
      </c>
      <c r="K28" s="18" t="str">
        <f>IF(VLOOKUP($B28,List!$A$1:$U$374,15,FALSE)="","",VLOOKUP($B28,List!$A$1:$U$374,15,FALSE))</f>
        <v/>
      </c>
      <c r="L28" s="14" t="str">
        <f>IF(VLOOKUP($B28,List!$A$1:$U$374,16,FALSE)="","",VLOOKUP($B28,List!$A$1:$U$374,16,FALSE))</f>
        <v/>
      </c>
      <c r="N28" s="14">
        <v>10</v>
      </c>
      <c r="O28" s="14" t="str" cm="1">
        <f t="array" ref="O28">INDEX(List!A:A,MATCH(LARGE(List!M:M,ROW(11:11)),List!M:M,0))</f>
        <v>Where the heart is</v>
      </c>
      <c r="P28" s="15" t="str">
        <f>VLOOKUP($O28,List!$A$1:$U$374,2,FALSE)</f>
        <v>As Dahomey, force all non-Fetishist nations out of Niger and Sahel by 1500.</v>
      </c>
      <c r="Q28" s="16">
        <f>VLOOKUP($O28,List!$A$1:$U$374,3,FALSE)</f>
        <v>7.0000000000000001E-3</v>
      </c>
      <c r="R28" s="17" t="str">
        <f>VLOOKUP($O28,List!$A$1:$U$374,4,FALSE)</f>
        <v>VH</v>
      </c>
      <c r="S28" s="25">
        <f>IF(VLOOKUP($O28,List!$A$1:$U$374,5,FALSE)="","",VLOOKUP($B28,List!$A$1:$U$374,5,FALSE))</f>
        <v>296</v>
      </c>
      <c r="T28" s="18" t="str">
        <f>IF(VLOOKUP($O28,List!$A$1:$U$374,15,FALSE)="","",VLOOKUP($O28,List!$A$1:$U$374,15,FALSE))</f>
        <v>Y</v>
      </c>
      <c r="U28" s="14" t="str">
        <f>IF(VLOOKUP($O28,List!$A$1:$U$374,16,FALSE)="","",VLOOKUP($O28,List!$A$1:$U$374,16,FALSE))</f>
        <v>Dahomey</v>
      </c>
      <c r="W28" s="14">
        <v>10</v>
      </c>
      <c r="X28" s="1" t="str" cm="1">
        <f t="array" ref="X28">INDEX(List!A:A,MATCH(LARGE(List!N:N,ROW(11:11)),List!N:N,0))</f>
        <v>The Animal Kingdom</v>
      </c>
      <c r="Y28" s="15" t="str">
        <f>VLOOKUP($X28,List!$A$1:$U$374,2,FALSE)</f>
        <v>As Manipur, unite the Bengal region and convert it to Animism.</v>
      </c>
      <c r="Z28" s="16">
        <f>VLOOKUP($X28,List!$A$1:$U$374,3,FALSE)</f>
        <v>8.0000000000000002E-3</v>
      </c>
      <c r="AA28" s="17" t="str">
        <f>VLOOKUP($X28,List!$A$1:$U$374,4,FALSE)</f>
        <v>VH</v>
      </c>
      <c r="AB28" s="25">
        <f>IF(VLOOKUP($X28,List!$A$1:$U$374,5,FALSE)="","",VLOOKUP($B28,List!$A$1:$U$374,5,FALSE))</f>
        <v>296</v>
      </c>
    </row>
  </sheetData>
  <mergeCells count="6">
    <mergeCell ref="A4:L4"/>
    <mergeCell ref="A17:L17"/>
    <mergeCell ref="N4:U4"/>
    <mergeCell ref="W4:AA4"/>
    <mergeCell ref="N17:U17"/>
    <mergeCell ref="W17:AA17"/>
  </mergeCells>
  <conditionalFormatting sqref="A5:B5 A18:B18">
    <cfRule type="expression" dxfId="210" priority="162">
      <formula>Q5="Y"</formula>
    </cfRule>
    <cfRule type="expression" dxfId="209" priority="88">
      <formula>H5="Y"</formula>
    </cfRule>
  </conditionalFormatting>
  <conditionalFormatting sqref="C5 C18">
    <cfRule type="expression" dxfId="208" priority="421">
      <formula>T5="Y"</formula>
    </cfRule>
  </conditionalFormatting>
  <conditionalFormatting sqref="C5 Z6:Z15 C18">
    <cfRule type="expression" dxfId="207" priority="81">
      <formula>K5="Y"</formula>
    </cfRule>
  </conditionalFormatting>
  <conditionalFormatting sqref="D5">
    <cfRule type="expression" dxfId="206" priority="47">
      <formula>B5="Y"</formula>
    </cfRule>
  </conditionalFormatting>
  <conditionalFormatting sqref="D18">
    <cfRule type="expression" dxfId="205" priority="43">
      <formula>B18="Y"</formula>
    </cfRule>
  </conditionalFormatting>
  <conditionalFormatting sqref="E5">
    <cfRule type="expression" dxfId="204" priority="46">
      <formula>B5="Y"</formula>
    </cfRule>
  </conditionalFormatting>
  <conditionalFormatting sqref="E18">
    <cfRule type="expression" dxfId="203" priority="42">
      <formula>B18="Y"</formula>
    </cfRule>
  </conditionalFormatting>
  <conditionalFormatting sqref="F5">
    <cfRule type="expression" dxfId="202" priority="45">
      <formula>B5="Y"</formula>
    </cfRule>
  </conditionalFormatting>
  <conditionalFormatting sqref="F7:F15 F19:F28">
    <cfRule type="expression" dxfId="201" priority="157">
      <formula>U7="Y"</formula>
    </cfRule>
  </conditionalFormatting>
  <conditionalFormatting sqref="F18">
    <cfRule type="expression" dxfId="200" priority="41">
      <formula>B18="Y"</formula>
    </cfRule>
  </conditionalFormatting>
  <conditionalFormatting sqref="G5">
    <cfRule type="expression" dxfId="199" priority="44">
      <formula>B5="Y"</formula>
    </cfRule>
  </conditionalFormatting>
  <conditionalFormatting sqref="G18">
    <cfRule type="expression" dxfId="198" priority="40">
      <formula>B18="Y"</formula>
    </cfRule>
  </conditionalFormatting>
  <conditionalFormatting sqref="H6:H15 Y6:Y15">
    <cfRule type="expression" dxfId="197" priority="139">
      <formula>Q6="Y"</formula>
    </cfRule>
  </conditionalFormatting>
  <conditionalFormatting sqref="H19:H28">
    <cfRule type="expression" dxfId="196" priority="137">
      <formula>Q19="Y"</formula>
    </cfRule>
    <cfRule type="expression" dxfId="195" priority="136">
      <formula>R19="Y"</formula>
    </cfRule>
  </conditionalFormatting>
  <conditionalFormatting sqref="H5:J5 P5:S5 H18:J18 P18:S18">
    <cfRule type="expression" dxfId="194" priority="419">
      <formula>L5="Y"</formula>
    </cfRule>
  </conditionalFormatting>
  <conditionalFormatting sqref="I6 I7:J15">
    <cfRule type="cellIs" dxfId="193" priority="125" operator="equal">
      <formula>"VE"</formula>
    </cfRule>
    <cfRule type="cellIs" dxfId="192" priority="124" operator="equal">
      <formula>"E"</formula>
    </cfRule>
    <cfRule type="cellIs" dxfId="191" priority="123" operator="equal">
      <formula>"M"</formula>
    </cfRule>
    <cfRule type="cellIs" dxfId="190" priority="122" operator="equal">
      <formula>"H"</formula>
    </cfRule>
    <cfRule type="cellIs" dxfId="189" priority="121" operator="equal">
      <formula>"VH"</formula>
    </cfRule>
    <cfRule type="cellIs" dxfId="188" priority="120" operator="equal">
      <formula>"I"</formula>
    </cfRule>
  </conditionalFormatting>
  <conditionalFormatting sqref="I19:I28">
    <cfRule type="cellIs" dxfId="187" priority="128" operator="equal">
      <formula>"I"</formula>
    </cfRule>
    <cfRule type="cellIs" dxfId="186" priority="133" operator="equal">
      <formula>"VE"</formula>
    </cfRule>
    <cfRule type="cellIs" dxfId="185" priority="132" operator="equal">
      <formula>"E"</formula>
    </cfRule>
    <cfRule type="cellIs" dxfId="184" priority="131" operator="equal">
      <formula>"M"</formula>
    </cfRule>
    <cfRule type="cellIs" dxfId="183" priority="130" operator="equal">
      <formula>"H"</formula>
    </cfRule>
    <cfRule type="cellIs" dxfId="182" priority="129" operator="equal">
      <formula>"VH"</formula>
    </cfRule>
  </conditionalFormatting>
  <conditionalFormatting sqref="J6">
    <cfRule type="cellIs" dxfId="181" priority="38" operator="equal">
      <formula>"Y"</formula>
    </cfRule>
  </conditionalFormatting>
  <conditionalFormatting sqref="J19">
    <cfRule type="cellIs" dxfId="180" priority="31" operator="equal">
      <formula>"Y"</formula>
    </cfRule>
  </conditionalFormatting>
  <conditionalFormatting sqref="J20:J28">
    <cfRule type="cellIs" dxfId="179" priority="34" operator="equal">
      <formula>"H"</formula>
    </cfRule>
    <cfRule type="cellIs" dxfId="178" priority="35" operator="equal">
      <formula>"M"</formula>
    </cfRule>
    <cfRule type="cellIs" dxfId="177" priority="37" operator="equal">
      <formula>"VE"</formula>
    </cfRule>
    <cfRule type="cellIs" dxfId="176" priority="36" operator="equal">
      <formula>"E"</formula>
    </cfRule>
    <cfRule type="cellIs" dxfId="175" priority="32" operator="equal">
      <formula>"I"</formula>
    </cfRule>
    <cfRule type="cellIs" dxfId="174" priority="33" operator="equal">
      <formula>"VH"</formula>
    </cfRule>
  </conditionalFormatting>
  <conditionalFormatting sqref="K6:K15">
    <cfRule type="cellIs" dxfId="173" priority="119" operator="equal">
      <formula>"Y"</formula>
    </cfRule>
  </conditionalFormatting>
  <conditionalFormatting sqref="K19:K28">
    <cfRule type="cellIs" dxfId="172" priority="108" operator="equal">
      <formula>"Y"</formula>
    </cfRule>
  </conditionalFormatting>
  <conditionalFormatting sqref="K5:L5 N5:O5 T5:U5 W5:X5 K18:L18 N18:O18 T18:U18">
    <cfRule type="expression" dxfId="171" priority="112">
      <formula>N5="Y"</formula>
    </cfRule>
  </conditionalFormatting>
  <conditionalFormatting sqref="L6:L15">
    <cfRule type="expression" dxfId="170" priority="115">
      <formula>K6="Y"</formula>
    </cfRule>
  </conditionalFormatting>
  <conditionalFormatting sqref="L19:L28">
    <cfRule type="expression" dxfId="169" priority="107">
      <formula>K19="Y"</formula>
    </cfRule>
  </conditionalFormatting>
  <conditionalFormatting sqref="N5:O5">
    <cfRule type="expression" dxfId="168" priority="111">
      <formula>Z5="Y"</formula>
    </cfRule>
  </conditionalFormatting>
  <conditionalFormatting sqref="N18:O18">
    <cfRule type="expression" dxfId="167" priority="70">
      <formula>Z18="Y"</formula>
    </cfRule>
  </conditionalFormatting>
  <conditionalFormatting sqref="P5:Q5 Y5:Z5">
    <cfRule type="expression" dxfId="166" priority="142">
      <formula>#REF!="Y"</formula>
    </cfRule>
  </conditionalFormatting>
  <conditionalFormatting sqref="P18:Q18 Y18:Z18">
    <cfRule type="expression" dxfId="165" priority="73">
      <formula>#REF!="Y"</formula>
    </cfRule>
  </conditionalFormatting>
  <conditionalFormatting sqref="Q6:Q15">
    <cfRule type="expression" dxfId="164" priority="105">
      <formula>AA6="Y"</formula>
    </cfRule>
    <cfRule type="expression" dxfId="163" priority="106">
      <formula>Z6="Y"</formula>
    </cfRule>
  </conditionalFormatting>
  <conditionalFormatting sqref="Q19:Q28">
    <cfRule type="expression" dxfId="162" priority="68">
      <formula>AA19="Y"</formula>
    </cfRule>
    <cfRule type="expression" dxfId="161" priority="69">
      <formula>Z19="Y"</formula>
    </cfRule>
  </conditionalFormatting>
  <conditionalFormatting sqref="R5 P6:P15 R18 P19:P28">
    <cfRule type="expression" dxfId="160" priority="61">
      <formula>AA5="Y"</formula>
    </cfRule>
  </conditionalFormatting>
  <conditionalFormatting sqref="R6:R15">
    <cfRule type="cellIs" dxfId="159" priority="104" operator="equal">
      <formula>"VE"</formula>
    </cfRule>
    <cfRule type="cellIs" dxfId="158" priority="103" operator="equal">
      <formula>"E"</formula>
    </cfRule>
    <cfRule type="cellIs" dxfId="157" priority="102" operator="equal">
      <formula>"M"</formula>
    </cfRule>
    <cfRule type="cellIs" dxfId="156" priority="100" operator="equal">
      <formula>"VH"</formula>
    </cfRule>
    <cfRule type="cellIs" dxfId="155" priority="99" operator="equal">
      <formula>"I"</formula>
    </cfRule>
    <cfRule type="cellIs" dxfId="154" priority="101" operator="equal">
      <formula>"H"</formula>
    </cfRule>
  </conditionalFormatting>
  <conditionalFormatting sqref="R19:R28">
    <cfRule type="cellIs" dxfId="153" priority="66" operator="equal">
      <formula>"E"</formula>
    </cfRule>
    <cfRule type="cellIs" dxfId="152" priority="67" operator="equal">
      <formula>"VE"</formula>
    </cfRule>
    <cfRule type="cellIs" dxfId="151" priority="62" operator="equal">
      <formula>"I"</formula>
    </cfRule>
    <cfRule type="cellIs" dxfId="150" priority="63" operator="equal">
      <formula>"VH"</formula>
    </cfRule>
    <cfRule type="cellIs" dxfId="149" priority="64" operator="equal">
      <formula>"H"</formula>
    </cfRule>
    <cfRule type="cellIs" dxfId="148" priority="65" operator="equal">
      <formula>"M"</formula>
    </cfRule>
  </conditionalFormatting>
  <conditionalFormatting sqref="S6">
    <cfRule type="cellIs" dxfId="147" priority="24" operator="equal">
      <formula>"Y"</formula>
    </cfRule>
  </conditionalFormatting>
  <conditionalFormatting sqref="S7:S15">
    <cfRule type="cellIs" dxfId="146" priority="29" operator="equal">
      <formula>"E"</formula>
    </cfRule>
    <cfRule type="cellIs" dxfId="145" priority="28" operator="equal">
      <formula>"M"</formula>
    </cfRule>
    <cfRule type="cellIs" dxfId="144" priority="25" operator="equal">
      <formula>"I"</formula>
    </cfRule>
    <cfRule type="cellIs" dxfId="143" priority="26" operator="equal">
      <formula>"VH"</formula>
    </cfRule>
    <cfRule type="cellIs" dxfId="142" priority="27" operator="equal">
      <formula>"H"</formula>
    </cfRule>
    <cfRule type="cellIs" dxfId="141" priority="30" operator="equal">
      <formula>"VE"</formula>
    </cfRule>
  </conditionalFormatting>
  <conditionalFormatting sqref="S19">
    <cfRule type="cellIs" dxfId="140" priority="17" operator="equal">
      <formula>"Y"</formula>
    </cfRule>
  </conditionalFormatting>
  <conditionalFormatting sqref="S20:S28">
    <cfRule type="cellIs" dxfId="139" priority="22" operator="equal">
      <formula>"E"</formula>
    </cfRule>
    <cfRule type="cellIs" dxfId="138" priority="23" operator="equal">
      <formula>"VE"</formula>
    </cfRule>
    <cfRule type="cellIs" dxfId="137" priority="21" operator="equal">
      <formula>"M"</formula>
    </cfRule>
    <cfRule type="cellIs" dxfId="136" priority="20" operator="equal">
      <formula>"H"</formula>
    </cfRule>
    <cfRule type="cellIs" dxfId="135" priority="19" operator="equal">
      <formula>"VH"</formula>
    </cfRule>
    <cfRule type="cellIs" dxfId="134" priority="18" operator="equal">
      <formula>"I"</formula>
    </cfRule>
  </conditionalFormatting>
  <conditionalFormatting sqref="T6:T15">
    <cfRule type="cellIs" dxfId="133" priority="95" operator="equal">
      <formula>"Y"</formula>
    </cfRule>
  </conditionalFormatting>
  <conditionalFormatting sqref="T19:T28">
    <cfRule type="cellIs" dxfId="132" priority="60" operator="equal">
      <formula>"Y"</formula>
    </cfRule>
  </conditionalFormatting>
  <conditionalFormatting sqref="T5:U5 H6:H15 T18:U18">
    <cfRule type="expression" dxfId="131" priority="98">
      <formula>R5="Y"</formula>
    </cfRule>
  </conditionalFormatting>
  <conditionalFormatting sqref="U6:U15">
    <cfRule type="expression" dxfId="130" priority="94">
      <formula>T6="Y"</formula>
    </cfRule>
  </conditionalFormatting>
  <conditionalFormatting sqref="U19:U28">
    <cfRule type="expression" dxfId="129" priority="59">
      <formula>T19="Y"</formula>
    </cfRule>
  </conditionalFormatting>
  <conditionalFormatting sqref="W18:X18">
    <cfRule type="expression" dxfId="128" priority="71">
      <formula>Z18="Y"</formula>
    </cfRule>
  </conditionalFormatting>
  <conditionalFormatting sqref="W5:AA5">
    <cfRule type="expression" dxfId="127" priority="75">
      <formula>AG5="Y"</formula>
    </cfRule>
  </conditionalFormatting>
  <conditionalFormatting sqref="W18:AA18">
    <cfRule type="expression" dxfId="126" priority="48">
      <formula>AG18="Y"</formula>
    </cfRule>
  </conditionalFormatting>
  <conditionalFormatting sqref="Y19:Y28">
    <cfRule type="expression" dxfId="125" priority="49">
      <formula>AH19="Y"</formula>
    </cfRule>
  </conditionalFormatting>
  <conditionalFormatting sqref="Z6:Z15">
    <cfRule type="expression" dxfId="124" priority="89">
      <formula>AG6="Y"</formula>
    </cfRule>
  </conditionalFormatting>
  <conditionalFormatting sqref="Z19:Z28">
    <cfRule type="expression" dxfId="123" priority="56">
      <formula>AH19="Y"</formula>
    </cfRule>
    <cfRule type="expression" dxfId="122" priority="57">
      <formula>AG19="Y"</formula>
    </cfRule>
  </conditionalFormatting>
  <conditionalFormatting sqref="AA5">
    <cfRule type="expression" dxfId="121" priority="144">
      <formula>AC5="Y"</formula>
    </cfRule>
  </conditionalFormatting>
  <conditionalFormatting sqref="AA6:AA15">
    <cfRule type="cellIs" dxfId="120" priority="86" operator="equal">
      <formula>"E"</formula>
    </cfRule>
    <cfRule type="cellIs" dxfId="119" priority="87" operator="equal">
      <formula>"VE"</formula>
    </cfRule>
    <cfRule type="cellIs" dxfId="118" priority="85" operator="equal">
      <formula>"M"</formula>
    </cfRule>
    <cfRule type="cellIs" dxfId="117" priority="84" operator="equal">
      <formula>"H"</formula>
    </cfRule>
    <cfRule type="cellIs" dxfId="116" priority="83" operator="equal">
      <formula>"VH"</formula>
    </cfRule>
    <cfRule type="cellIs" dxfId="115" priority="82" operator="equal">
      <formula>"I"</formula>
    </cfRule>
  </conditionalFormatting>
  <conditionalFormatting sqref="AA18">
    <cfRule type="expression" dxfId="114" priority="74">
      <formula>AC18="Y"</formula>
    </cfRule>
  </conditionalFormatting>
  <conditionalFormatting sqref="AA19:AA28">
    <cfRule type="cellIs" dxfId="113" priority="53" operator="equal">
      <formula>"M"</formula>
    </cfRule>
    <cfRule type="cellIs" dxfId="112" priority="55" operator="equal">
      <formula>"VE"</formula>
    </cfRule>
    <cfRule type="cellIs" dxfId="111" priority="54" operator="equal">
      <formula>"E"</formula>
    </cfRule>
    <cfRule type="cellIs" dxfId="110" priority="52" operator="equal">
      <formula>"H"</formula>
    </cfRule>
    <cfRule type="cellIs" dxfId="109" priority="51" operator="equal">
      <formula>"VH"</formula>
    </cfRule>
    <cfRule type="cellIs" dxfId="108" priority="50" operator="equal">
      <formula>"I"</formula>
    </cfRule>
  </conditionalFormatting>
  <conditionalFormatting sqref="AB5">
    <cfRule type="expression" dxfId="107" priority="16">
      <formula>AF5="Y"</formula>
    </cfRule>
  </conditionalFormatting>
  <conditionalFormatting sqref="AB6">
    <cfRule type="cellIs" dxfId="106" priority="9" operator="equal">
      <formula>"Y"</formula>
    </cfRule>
  </conditionalFormatting>
  <conditionalFormatting sqref="AB7:AB15">
    <cfRule type="cellIs" dxfId="105" priority="14" operator="equal">
      <formula>"E"</formula>
    </cfRule>
    <cfRule type="cellIs" dxfId="104" priority="13" operator="equal">
      <formula>"M"</formula>
    </cfRule>
    <cfRule type="cellIs" dxfId="103" priority="12" operator="equal">
      <formula>"H"</formula>
    </cfRule>
    <cfRule type="cellIs" dxfId="102" priority="11" operator="equal">
      <formula>"VH"</formula>
    </cfRule>
    <cfRule type="cellIs" dxfId="101" priority="10" operator="equal">
      <formula>"I"</formula>
    </cfRule>
    <cfRule type="cellIs" dxfId="100" priority="15" operator="equal">
      <formula>"VE"</formula>
    </cfRule>
  </conditionalFormatting>
  <conditionalFormatting sqref="AB18">
    <cfRule type="expression" dxfId="99" priority="8">
      <formula>AF18="Y"</formula>
    </cfRule>
  </conditionalFormatting>
  <conditionalFormatting sqref="AB19">
    <cfRule type="cellIs" dxfId="98" priority="1" operator="equal">
      <formula>"Y"</formula>
    </cfRule>
  </conditionalFormatting>
  <conditionalFormatting sqref="AB20:AB28">
    <cfRule type="cellIs" dxfId="97" priority="2" operator="equal">
      <formula>"I"</formula>
    </cfRule>
    <cfRule type="cellIs" dxfId="96" priority="7" operator="equal">
      <formula>"VE"</formula>
    </cfRule>
    <cfRule type="cellIs" dxfId="95" priority="6" operator="equal">
      <formula>"E"</formula>
    </cfRule>
    <cfRule type="cellIs" dxfId="94" priority="5" operator="equal">
      <formula>"M"</formula>
    </cfRule>
    <cfRule type="cellIs" dxfId="93" priority="4" operator="equal">
      <formula>"H"</formula>
    </cfRule>
    <cfRule type="cellIs" dxfId="92" priority="3" operator="equal">
      <formula>"VH"</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71CC-FD1D-40C3-A5F7-A316733B30A0}">
  <dimension ref="A1:O38"/>
  <sheetViews>
    <sheetView showGridLines="0" zoomScale="90" zoomScaleNormal="90" workbookViewId="0">
      <selection activeCell="C7" sqref="C7"/>
    </sheetView>
  </sheetViews>
  <sheetFormatPr defaultColWidth="9.140625" defaultRowHeight="15" outlineLevelCol="1" x14ac:dyDescent="0.25"/>
  <cols>
    <col min="1" max="1" width="3" style="19" bestFit="1" customWidth="1"/>
    <col min="2" max="2" width="25.7109375" style="1" bestFit="1" customWidth="1"/>
    <col min="3" max="3" width="67.28515625" style="1" customWidth="1" outlineLevel="1"/>
    <col min="4" max="7" width="9.140625" style="1"/>
    <col min="8" max="8" width="11.140625" style="1" bestFit="1" customWidth="1"/>
    <col min="9" max="9" width="2.42578125" style="1" customWidth="1"/>
    <col min="10" max="10" width="3" style="19" bestFit="1" customWidth="1"/>
    <col min="11" max="11" width="25.7109375" style="1" bestFit="1" customWidth="1"/>
    <col min="12" max="12" width="67.28515625" style="1" customWidth="1" outlineLevel="1"/>
    <col min="13" max="16384" width="9.140625" style="1"/>
  </cols>
  <sheetData>
    <row r="1" spans="1:15" ht="15.75" x14ac:dyDescent="0.25">
      <c r="A1" s="86" t="s">
        <v>1658</v>
      </c>
      <c r="B1" s="86"/>
      <c r="C1" s="86"/>
      <c r="D1" s="86"/>
      <c r="E1" s="86"/>
      <c r="F1" s="86"/>
      <c r="G1" s="86"/>
      <c r="H1" s="86"/>
      <c r="J1" s="88" t="s">
        <v>1654</v>
      </c>
      <c r="K1" s="88"/>
      <c r="L1" s="88"/>
      <c r="M1" s="88"/>
      <c r="N1" s="88"/>
      <c r="O1" s="88"/>
    </row>
    <row r="2" spans="1:15" ht="25.5" x14ac:dyDescent="0.25">
      <c r="A2" s="11" t="s">
        <v>1640</v>
      </c>
      <c r="B2" s="11" t="s">
        <v>634</v>
      </c>
      <c r="C2" s="11" t="s">
        <v>635</v>
      </c>
      <c r="D2" s="11" t="s">
        <v>637</v>
      </c>
      <c r="E2" s="11" t="s">
        <v>636</v>
      </c>
      <c r="F2" s="11" t="s">
        <v>1668</v>
      </c>
      <c r="G2" s="11" t="s">
        <v>754</v>
      </c>
      <c r="H2" s="11" t="s">
        <v>758</v>
      </c>
      <c r="J2" s="11" t="s">
        <v>1640</v>
      </c>
      <c r="K2" s="11" t="s">
        <v>634</v>
      </c>
      <c r="L2" s="11" t="s">
        <v>635</v>
      </c>
      <c r="M2" s="11" t="s">
        <v>637</v>
      </c>
      <c r="N2" s="11" t="s">
        <v>636</v>
      </c>
      <c r="O2" s="11" t="s">
        <v>1668</v>
      </c>
    </row>
    <row r="3" spans="1:15" ht="22.5" customHeight="1" x14ac:dyDescent="0.25">
      <c r="A3" s="19">
        <v>1</v>
      </c>
      <c r="B3" s="1" t="str" cm="1">
        <f t="array" ref="B3">INDEX(List!A:A,MATCH(LARGE(List!U:U,ROW(1:1)),List!U:U,0))</f>
        <v>Die Please Die</v>
      </c>
      <c r="C3" s="2" t="str">
        <f>VLOOKUP($B3,List!$A$1:$U$374,2,FALSE)</f>
        <v>Have a ruler with 1 or lower in all three categories who is over the age 
of 70.</v>
      </c>
      <c r="D3" s="3">
        <f>VLOOKUP($B3,List!$A$1:$U$374,3,FALSE)</f>
        <v>4.1000000000000002E-2</v>
      </c>
      <c r="E3" s="6" t="str">
        <f>VLOOKUP($B3,List!$A$1:$U$374,4,FALSE)</f>
        <v>E</v>
      </c>
      <c r="F3" s="24">
        <f>IF(VLOOKUP($B3,List!$A$1:$U$374,5,FALSE)="","",VLOOKUP($B3,List!$A$1:$U$374,5,FALSE))</f>
        <v>25.9</v>
      </c>
      <c r="G3" s="4" t="str">
        <f>IF(VLOOKUP($B3,List!$A$1:$U$374,15,FALSE)="","",VLOOKUP($B3,List!$A$1:$U$374,15,FALSE))</f>
        <v/>
      </c>
      <c r="H3" s="1" t="str">
        <f>IF(VLOOKUP($B3,List!$A$1:$U$374,16,FALSE)="","",VLOOKUP($B3,List!$A$1:$U$374,16,FALSE))</f>
        <v/>
      </c>
      <c r="J3" s="19">
        <v>1</v>
      </c>
      <c r="K3" s="1" t="str" cm="1">
        <f t="array" ref="K3">INDEX(List!A:A,MATCH(LARGE(List!K:K,ROW(1:1)),List!K:K,0))</f>
        <v>Die Please Die</v>
      </c>
      <c r="L3" s="2" t="str">
        <f>VLOOKUP($K3,List!$A$1:$U$374,2,FALSE)</f>
        <v>Have a ruler with 1 or lower in all three categories who is over the age 
of 70.</v>
      </c>
      <c r="M3" s="3">
        <f>VLOOKUP($K3,List!$A$1:$U$374,3,FALSE)</f>
        <v>4.1000000000000002E-2</v>
      </c>
      <c r="N3" s="6" t="str">
        <f>VLOOKUP($K3,List!$A$1:$U$374,4,FALSE)</f>
        <v>E</v>
      </c>
      <c r="O3" s="24">
        <f>IF(VLOOKUP($K3,List!$A$1:$U$374,5,FALSE)="","",VLOOKUP($K3,List!$A$1:$U$374,5,FALSE))</f>
        <v>25.9</v>
      </c>
    </row>
    <row r="4" spans="1:15" ht="22.5" customHeight="1" x14ac:dyDescent="0.25">
      <c r="A4" s="20">
        <v>2</v>
      </c>
      <c r="B4" s="14" t="str" cm="1">
        <f t="array" ref="B4">INDEX(List!A:A,MATCH(LARGE(List!U:U,ROW(2:2)),List!U:U,0))</f>
        <v>One King to Rule!</v>
      </c>
      <c r="C4" s="15" t="str">
        <f>VLOOKUP($B4,List!$A$1:$U$374,2,FALSE)</f>
        <v>As Poland, become an absolutist monarchy, abolishing the Sejm.</v>
      </c>
      <c r="D4" s="16">
        <f>VLOOKUP($B4,List!$A$1:$U$374,3,FALSE)</f>
        <v>3.4000000000000002E-2</v>
      </c>
      <c r="E4" s="17" t="str">
        <f>VLOOKUP($B4,List!$A$1:$U$374,4,FALSE)</f>
        <v>E</v>
      </c>
      <c r="F4" s="25">
        <f>IF(VLOOKUP($B4,List!$A$1:$U$374,5,FALSE)="","",VLOOKUP($B4,List!$A$1:$U$374,5,FALSE))</f>
        <v>26.6</v>
      </c>
      <c r="G4" s="18" t="str">
        <f>IF(VLOOKUP($B4,List!$A$1:$U$374,15,FALSE)="","",VLOOKUP($B4,List!$A$1:$U$374,15,FALSE))</f>
        <v/>
      </c>
      <c r="H4" s="14" t="str">
        <f>IF(VLOOKUP($B4,List!$A$1:$U$374,16,FALSE)="","",VLOOKUP($B4,List!$A$1:$U$374,16,FALSE))</f>
        <v/>
      </c>
      <c r="J4" s="20">
        <v>2</v>
      </c>
      <c r="K4" s="14" t="str" cm="1">
        <f t="array" ref="K4">INDEX(List!A:A,MATCH(LARGE(List!K:K,ROW(2:2)),List!K:K,0))</f>
        <v>Liberty or Death</v>
      </c>
      <c r="L4" s="15" t="str">
        <f>VLOOKUP($K4,List!$A$1:$U$374,2,FALSE)</f>
        <v>Start as USA in 1776 bookmark and own all your cores while being at peace.</v>
      </c>
      <c r="M4" s="16">
        <f>VLOOKUP($K4,List!$A$1:$U$374,3,FALSE)</f>
        <v>3.6999999999999998E-2</v>
      </c>
      <c r="N4" s="17" t="str">
        <f>VLOOKUP($K4,List!$A$1:$U$374,4,FALSE)</f>
        <v>VE</v>
      </c>
      <c r="O4" s="25">
        <f>IF(VLOOKUP($K4,List!$A$1:$U$374,5,FALSE)="","",VLOOKUP($K4,List!$A$1:$U$374,5,FALSE))</f>
        <v>13.15</v>
      </c>
    </row>
    <row r="5" spans="1:15" ht="22.5" customHeight="1" x14ac:dyDescent="0.25">
      <c r="A5" s="19">
        <v>3</v>
      </c>
      <c r="B5" s="1" t="str" cm="1">
        <f t="array" ref="B5">INDEX(List!A:A,MATCH(LARGE(List!U:U,ROW(3:3)),List!U:U,0))</f>
        <v>Winged Hussars</v>
      </c>
      <c r="C5" s="2" t="str">
        <f>VLOOKUP($B5,List!$A$1:$U$374,2,FALSE)</f>
        <v>Have Winged Hussars as your active unit with more than +50% cavalry combat 
ability.</v>
      </c>
      <c r="D5" s="3">
        <f>VLOOKUP($B5,List!$A$1:$U$374,3,FALSE)</f>
        <v>3.4000000000000002E-2</v>
      </c>
      <c r="E5" s="6" t="str">
        <f>VLOOKUP($B5,List!$A$1:$U$374,4,FALSE)</f>
        <v>E</v>
      </c>
      <c r="F5" s="26">
        <f>IF(VLOOKUP($B5,List!$A$1:$U$374,5,FALSE)="","",VLOOKUP($B5,List!$A$1:$U$374,5,FALSE))</f>
        <v>26.6</v>
      </c>
      <c r="G5" s="4" t="str">
        <f>IF(VLOOKUP($B5,List!$A$1:$U$374,15,FALSE)="","",VLOOKUP($B5,List!$A$1:$U$374,15,FALSE))</f>
        <v/>
      </c>
      <c r="H5" s="1" t="str">
        <f>IF(VLOOKUP($B5,List!$A$1:$U$374,16,FALSE)="","",VLOOKUP($B5,List!$A$1:$U$374,16,FALSE))</f>
        <v/>
      </c>
      <c r="J5" s="19">
        <v>3</v>
      </c>
      <c r="K5" s="1" t="str" cm="1">
        <f t="array" ref="K5">INDEX(List!A:A,MATCH(LARGE(List!K:K,ROW(3:3)),List!K:K,0))</f>
        <v>A tale of two Families</v>
      </c>
      <c r="L5" s="2" t="str">
        <f>VLOOKUP($K5,List!$A$1:$U$374,2,FALSE)</f>
        <v>Starting as Vijayanagar or Bahmanis conquer the other’s capital and have 
them not exist.</v>
      </c>
      <c r="M5" s="3">
        <f>VLOOKUP($K5,List!$A$1:$U$374,3,FALSE)</f>
        <v>3.5000000000000003E-2</v>
      </c>
      <c r="N5" s="6" t="str">
        <f>VLOOKUP($K5,List!$A$1:$U$374,4,FALSE)</f>
        <v>M</v>
      </c>
      <c r="O5" s="26">
        <f>IF(VLOOKUP($K5,List!$A$1:$U$374,5,FALSE)="","",VLOOKUP($K5,List!$A$1:$U$374,5,FALSE))</f>
        <v>66.25</v>
      </c>
    </row>
    <row r="6" spans="1:15" ht="22.5" customHeight="1" x14ac:dyDescent="0.25">
      <c r="A6" s="20">
        <v>4</v>
      </c>
      <c r="B6" s="14" t="str" cm="1">
        <f t="array" ref="B6">INDEX(List!A:A,MATCH(LARGE(List!U:U,ROW(4:4)),List!U:U,0))</f>
        <v>Pirate Bay of Janjira</v>
      </c>
      <c r="C6" s="15" t="str">
        <f>VLOOKUP($B6,List!$A$1:$U$374,2,FALSE)</f>
        <v>Have more than 50% Privateering power in the Gujarat trade node</v>
      </c>
      <c r="D6" s="16">
        <f>VLOOKUP($B6,List!$A$1:$U$374,3,FALSE)</f>
        <v>1.7999999999999999E-2</v>
      </c>
      <c r="E6" s="17" t="str">
        <f>VLOOKUP($B6,List!$A$1:$U$374,4,FALSE)</f>
        <v>E</v>
      </c>
      <c r="F6" s="25">
        <f>IF(VLOOKUP($B6,List!$A$1:$U$374,5,FALSE)="","",VLOOKUP($B6,List!$A$1:$U$374,5,FALSE))</f>
        <v>28.2</v>
      </c>
      <c r="G6" s="18" t="str">
        <f>IF(VLOOKUP($B6,List!$A$1:$U$374,15,FALSE)="","",VLOOKUP($B6,List!$A$1:$U$374,15,FALSE))</f>
        <v/>
      </c>
      <c r="H6" s="14" t="str">
        <f>IF(VLOOKUP($B6,List!$A$1:$U$374,16,FALSE)="","",VLOOKUP($B6,List!$A$1:$U$374,16,FALSE))</f>
        <v/>
      </c>
      <c r="J6" s="20">
        <v>4</v>
      </c>
      <c r="K6" s="14" t="str" cm="1">
        <f t="array" ref="K6">INDEX(List!A:A,MATCH(LARGE(List!K:K,ROW(4:4)),List!K:K,0))</f>
        <v>The Spice Must Flow</v>
      </c>
      <c r="L6" s="15" t="str">
        <f>VLOOKUP($K6,List!$A$1:$U$374,2,FALSE)</f>
        <v>Form the nation of Malaya.</v>
      </c>
      <c r="M6" s="16">
        <f>VLOOKUP($K6,List!$A$1:$U$374,3,FALSE)</f>
        <v>3.4000000000000002E-2</v>
      </c>
      <c r="N6" s="17" t="str">
        <f>VLOOKUP($K6,List!$A$1:$U$374,4,FALSE)</f>
        <v>M</v>
      </c>
      <c r="O6" s="25">
        <f>IF(VLOOKUP($K6,List!$A$1:$U$374,5,FALSE)="","",VLOOKUP($K6,List!$A$1:$U$374,5,FALSE))</f>
        <v>66.5</v>
      </c>
    </row>
    <row r="7" spans="1:15" ht="22.5" customHeight="1" x14ac:dyDescent="0.25">
      <c r="A7" s="19">
        <v>5</v>
      </c>
      <c r="B7" s="1" t="str" cm="1">
        <f t="array" ref="B7">INDEX(List!A:A,MATCH(LARGE(List!U:U,ROW(5:5)),List!U:U,0))</f>
        <v>Baa Baa Black Sheep</v>
      </c>
      <c r="C7" s="2" t="str">
        <f>VLOOKUP($B7,List!$A$1:$U$374,2,FALSE)</f>
        <v>As Qara Qoyunlu become the leading producer of wool.</v>
      </c>
      <c r="D7" s="3">
        <f>VLOOKUP($B7,List!$A$1:$U$374,3,FALSE)</f>
        <v>1.7999999999999999E-2</v>
      </c>
      <c r="E7" s="6" t="str">
        <f>VLOOKUP($B7,List!$A$1:$U$374,4,FALSE)</f>
        <v>E</v>
      </c>
      <c r="F7" s="26">
        <f>IF(VLOOKUP($B7,List!$A$1:$U$374,5,FALSE)="","",VLOOKUP($B7,List!$A$1:$U$374,5,FALSE))</f>
        <v>28.2</v>
      </c>
      <c r="G7" s="4" t="str">
        <f>IF(VLOOKUP($B7,List!$A$1:$U$374,15,FALSE)="","",VLOOKUP($B7,List!$A$1:$U$374,15,FALSE))</f>
        <v/>
      </c>
      <c r="H7" s="1" t="str">
        <f>IF(VLOOKUP($B7,List!$A$1:$U$374,16,FALSE)="","",VLOOKUP($B7,List!$A$1:$U$374,16,FALSE))</f>
        <v/>
      </c>
      <c r="J7" s="19">
        <v>5</v>
      </c>
      <c r="K7" s="1" t="str" cm="1">
        <f t="array" ref="K7">INDEX(List!A:A,MATCH(LARGE(List!K:K,ROW(5:5)),List!K:K,0))</f>
        <v>One King to Rule!</v>
      </c>
      <c r="L7" s="2" t="str">
        <f>VLOOKUP($K7,List!$A$1:$U$374,2,FALSE)</f>
        <v>As Poland, become an absolutist monarchy, abolishing the Sejm.</v>
      </c>
      <c r="M7" s="3">
        <f>VLOOKUP($K7,List!$A$1:$U$374,3,FALSE)</f>
        <v>3.4000000000000002E-2</v>
      </c>
      <c r="N7" s="6" t="str">
        <f>VLOOKUP($K7,List!$A$1:$U$374,4,FALSE)</f>
        <v>E</v>
      </c>
      <c r="O7" s="26">
        <f>IF(VLOOKUP($K7,List!$A$1:$U$374,5,FALSE)="","",VLOOKUP($K7,List!$A$1:$U$374,5,FALSE))</f>
        <v>26.6</v>
      </c>
    </row>
    <row r="8" spans="1:15" ht="22.5" customHeight="1" x14ac:dyDescent="0.25">
      <c r="A8" s="20">
        <v>6</v>
      </c>
      <c r="B8" s="14" t="str" cm="1">
        <f t="array" ref="B8">INDEX(List!A:A,MATCH(LARGE(List!U:U,ROW(6:6)),List!U:U,0))</f>
        <v>Rozwi Empire</v>
      </c>
      <c r="C8" s="15" t="str">
        <f>VLOOKUP($B8,List!$A$1:$U$374,2,FALSE)</f>
        <v>Starting as Butua, conquer Mutapa (Zimbabwe and Lower Zambezi areas).</v>
      </c>
      <c r="D8" s="16">
        <f>VLOOKUP($B8,List!$A$1:$U$374,3,FALSE)</f>
        <v>1.4E-2</v>
      </c>
      <c r="E8" s="17" t="str">
        <f>VLOOKUP($B8,List!$A$1:$U$374,4,FALSE)</f>
        <v>E</v>
      </c>
      <c r="F8" s="25">
        <f>IF(VLOOKUP($B8,List!$A$1:$U$374,5,FALSE)="","",VLOOKUP($B8,List!$A$1:$U$374,5,FALSE))</f>
        <v>28.6</v>
      </c>
      <c r="G8" s="18" t="str">
        <f>IF(VLOOKUP($B8,List!$A$1:$U$374,15,FALSE)="","",VLOOKUP($B8,List!$A$1:$U$374,15,FALSE))</f>
        <v/>
      </c>
      <c r="H8" s="14" t="str">
        <f>IF(VLOOKUP($B8,List!$A$1:$U$374,16,FALSE)="","",VLOOKUP($B8,List!$A$1:$U$374,16,FALSE))</f>
        <v/>
      </c>
      <c r="J8" s="20">
        <v>6</v>
      </c>
      <c r="K8" s="14" t="str" cm="1">
        <f t="array" ref="K8">INDEX(List!A:A,MATCH(LARGE(List!K:K,ROW(6:6)),List!K:K,0))</f>
        <v>Winged Hussars</v>
      </c>
      <c r="L8" s="15" t="str">
        <f>VLOOKUP($K8,List!$A$1:$U$374,2,FALSE)</f>
        <v>Have Winged Hussars as your active unit with more than +50% cavalry combat 
ability.</v>
      </c>
      <c r="M8" s="16">
        <f>VLOOKUP($K8,List!$A$1:$U$374,3,FALSE)</f>
        <v>3.4000000000000002E-2</v>
      </c>
      <c r="N8" s="17" t="str">
        <f>VLOOKUP($K8,List!$A$1:$U$374,4,FALSE)</f>
        <v>E</v>
      </c>
      <c r="O8" s="25">
        <f>IF(VLOOKUP($K8,List!$A$1:$U$374,5,FALSE)="","",VLOOKUP($K8,List!$A$1:$U$374,5,FALSE))</f>
        <v>26.6</v>
      </c>
    </row>
    <row r="9" spans="1:15" ht="22.5" customHeight="1" x14ac:dyDescent="0.25">
      <c r="A9" s="19">
        <v>7</v>
      </c>
      <c r="B9" s="1" t="str" cm="1">
        <f t="array" ref="B9">INDEX(List!A:A,MATCH(LARGE(List!U:U,ROW(7:7)),List!U:U,0))</f>
        <v>Sikh Pun</v>
      </c>
      <c r="C9" s="2" t="str">
        <f>VLOOKUP($B9,List!$A$1:$U$374,2,FALSE)</f>
        <v>Convert to Sikhism and form the nation of Punjab.</v>
      </c>
      <c r="D9" s="3">
        <f>VLOOKUP($B9,List!$A$1:$U$374,3,FALSE)</f>
        <v>1.2999999999999999E-2</v>
      </c>
      <c r="E9" s="6" t="str">
        <f>VLOOKUP($B9,List!$A$1:$U$374,4,FALSE)</f>
        <v>E</v>
      </c>
      <c r="F9" s="26">
        <f>IF(VLOOKUP($B9,List!$A$1:$U$374,5,FALSE)="","",VLOOKUP($B9,List!$A$1:$U$374,5,FALSE))</f>
        <v>28.7</v>
      </c>
      <c r="G9" s="4" t="str">
        <f>IF(VLOOKUP($B9,List!$A$1:$U$374,15,FALSE)="","",VLOOKUP($B9,List!$A$1:$U$374,15,FALSE))</f>
        <v/>
      </c>
      <c r="H9" s="1" t="str">
        <f>IF(VLOOKUP($B9,List!$A$1:$U$374,16,FALSE)="","",VLOOKUP($B9,List!$A$1:$U$374,16,FALSE))</f>
        <v/>
      </c>
      <c r="J9" s="19">
        <v>7</v>
      </c>
      <c r="K9" s="1" t="str" cm="1">
        <f t="array" ref="K9">INDEX(List!A:A,MATCH(LARGE(List!K:K,ROW(7:7)),List!K:K,0))</f>
        <v>Definitely the Sultan of Rum</v>
      </c>
      <c r="L9" s="2" t="str">
        <f>VLOOKUP($K9,List!$A$1:$U$374,2,FALSE)</f>
        <v>Own and have cores on Rome, Moscow and Istanbul as Ottomans or Rum.</v>
      </c>
      <c r="M9" s="3">
        <f>VLOOKUP($K9,List!$A$1:$U$374,3,FALSE)</f>
        <v>3.1E-2</v>
      </c>
      <c r="N9" s="6" t="str">
        <f>VLOOKUP($K9,List!$A$1:$U$374,4,FALSE)</f>
        <v>M</v>
      </c>
      <c r="O9" s="26">
        <f>IF(VLOOKUP($K9,List!$A$1:$U$374,5,FALSE)="","",VLOOKUP($K9,List!$A$1:$U$374,5,FALSE))</f>
        <v>67.25</v>
      </c>
    </row>
    <row r="10" spans="1:15" ht="22.5" customHeight="1" x14ac:dyDescent="0.25">
      <c r="A10" s="20">
        <v>8</v>
      </c>
      <c r="B10" s="14" t="str" cm="1">
        <f t="array" ref="B10">INDEX(List!A:A,MATCH(LARGE(List!U:U,ROW(8:8)),List!U:U,0))</f>
        <v>The White Company</v>
      </c>
      <c r="C10" s="15" t="str">
        <f>VLOOKUP($B10,List!$A$1:$U$374,2,FALSE)</f>
        <v>Join a war on the other side of someone to whom you have rented 
condottieri.</v>
      </c>
      <c r="D10" s="16">
        <f>VLOOKUP($B10,List!$A$1:$U$374,3,FALSE)</f>
        <v>1.0999999999999999E-2</v>
      </c>
      <c r="E10" s="17" t="str">
        <f>VLOOKUP($B10,List!$A$1:$U$374,4,FALSE)</f>
        <v>E</v>
      </c>
      <c r="F10" s="25">
        <f>IF(VLOOKUP($B10,List!$A$1:$U$374,5,FALSE)="","",VLOOKUP($B10,List!$A$1:$U$374,5,FALSE))</f>
        <v>28.9</v>
      </c>
      <c r="G10" s="18" t="str">
        <f>IF(VLOOKUP($B10,List!$A$1:$U$374,15,FALSE)="","",VLOOKUP($B10,List!$A$1:$U$374,15,FALSE))</f>
        <v/>
      </c>
      <c r="H10" s="14" t="str">
        <f>IF(VLOOKUP($B10,List!$A$1:$U$374,16,FALSE)="","",VLOOKUP($B10,List!$A$1:$U$374,16,FALSE))</f>
        <v/>
      </c>
      <c r="J10" s="20">
        <v>8</v>
      </c>
      <c r="K10" s="14" t="str" cm="1">
        <f t="array" ref="K10">INDEX(List!A:A,MATCH(LARGE(List!K:K,ROW(8:8)),List!K:K,0))</f>
        <v>Master of India</v>
      </c>
      <c r="L10" s="15" t="str">
        <f>VLOOKUP($K10,List!$A$1:$U$374,2,FALSE)</f>
        <v>Own and have cores on all of India as a European nation.</v>
      </c>
      <c r="M10" s="16">
        <f>VLOOKUP($K10,List!$A$1:$U$374,3,FALSE)</f>
        <v>2.9000000000000001E-2</v>
      </c>
      <c r="N10" s="17" t="str">
        <f>VLOOKUP($K10,List!$A$1:$U$374,4,FALSE)</f>
        <v>H</v>
      </c>
      <c r="O10" s="25">
        <f>IF(VLOOKUP($K10,List!$A$1:$U$374,5,FALSE)="","",VLOOKUP($K10,List!$A$1:$U$374,5,FALSE))</f>
        <v>135.5</v>
      </c>
    </row>
    <row r="11" spans="1:15" ht="22.5" customHeight="1" x14ac:dyDescent="0.25">
      <c r="A11" s="19">
        <v>9</v>
      </c>
      <c r="B11" s="1" t="str" cm="1">
        <f t="array" ref="B11">INDEX(List!A:A,MATCH(LARGE(List!U:U,ROW(9:9)),List!U:U,0))</f>
        <v>Cities of Cibola</v>
      </c>
      <c r="C11" s="2" t="str">
        <f>VLOOKUP($B11,List!$A$1:$U$374,2,FALSE)</f>
        <v>As a Nation that has Pueblo as primary culture, own at least 7 provinces 
with 10 development each.</v>
      </c>
      <c r="D11" s="3">
        <f>VLOOKUP($B11,List!$A$1:$U$374,3,FALSE)</f>
        <v>1.0999999999999999E-2</v>
      </c>
      <c r="E11" s="6" t="str">
        <f>VLOOKUP($B11,List!$A$1:$U$374,4,FALSE)</f>
        <v>E</v>
      </c>
      <c r="F11" s="26">
        <f>IF(VLOOKUP($B11,List!$A$1:$U$374,5,FALSE)="","",VLOOKUP($B11,List!$A$1:$U$374,5,FALSE))</f>
        <v>28.9</v>
      </c>
      <c r="G11" s="4" t="str">
        <f>IF(VLOOKUP($B11,List!$A$1:$U$374,15,FALSE)="","",VLOOKUP($B11,List!$A$1:$U$374,15,FALSE))</f>
        <v/>
      </c>
      <c r="H11" s="1" t="str">
        <f>IF(VLOOKUP($B11,List!$A$1:$U$374,16,FALSE)="","",VLOOKUP($B11,List!$A$1:$U$374,16,FALSE))</f>
        <v/>
      </c>
      <c r="J11" s="19">
        <v>9</v>
      </c>
      <c r="K11" s="1" t="str" cm="1">
        <f t="array" ref="K11">INDEX(List!A:A,MATCH(LARGE(List!K:K,ROW(9:9)),List!K:K,0))</f>
        <v>Guarantor of Peace</v>
      </c>
      <c r="L11" s="2" t="str">
        <f>VLOOKUP($K11,List!$A$1:$U$374,2,FALSE)</f>
        <v>Guarantee the Independence of France, The Ottoman Empire and Russia.</v>
      </c>
      <c r="M11" s="3">
        <f>VLOOKUP($K11,List!$A$1:$U$374,3,FALSE)</f>
        <v>2.5999999999999999E-2</v>
      </c>
      <c r="N11" s="6" t="str">
        <f>VLOOKUP($K11,List!$A$1:$U$374,4,FALSE)</f>
        <v>H</v>
      </c>
      <c r="O11" s="26">
        <f>IF(VLOOKUP($K11,List!$A$1:$U$374,5,FALSE)="","",VLOOKUP($K11,List!$A$1:$U$374,5,FALSE))</f>
        <v>137</v>
      </c>
    </row>
    <row r="12" spans="1:15" ht="22.5" customHeight="1" x14ac:dyDescent="0.25">
      <c r="A12" s="20">
        <v>10</v>
      </c>
      <c r="B12" s="14" t="str" cm="1">
        <f t="array" ref="B12">INDEX(List!A:A,MATCH(LARGE(List!U:U,ROW(10:10)),List!U:U,0))</f>
        <v>Cherrypicking</v>
      </c>
      <c r="C12" s="15" t="str">
        <f>VLOOKUP($B12,List!$A$1:$U$374,2,FALSE)</f>
        <v>Conscript a 3 star general from a Daimyo Subject.</v>
      </c>
      <c r="D12" s="16">
        <f>VLOOKUP($B12,List!$A$1:$U$374,3,FALSE)</f>
        <v>0.01</v>
      </c>
      <c r="E12" s="17" t="str">
        <f>VLOOKUP($B12,List!$A$1:$U$374,4,FALSE)</f>
        <v>E</v>
      </c>
      <c r="F12" s="25">
        <f>IF(VLOOKUP($B12,List!$A$1:$U$374,5,FALSE)="","",VLOOKUP($B12,List!$A$1:$U$374,5,FALSE))</f>
        <v>29</v>
      </c>
      <c r="G12" s="18" t="str">
        <f>IF(VLOOKUP($B12,List!$A$1:$U$374,15,FALSE)="","",VLOOKUP($B12,List!$A$1:$U$374,15,FALSE))</f>
        <v/>
      </c>
      <c r="H12" s="14" t="str">
        <f>IF(VLOOKUP($B12,List!$A$1:$U$374,16,FALSE)="","",VLOOKUP($B12,List!$A$1:$U$374,16,FALSE))</f>
        <v/>
      </c>
      <c r="J12" s="20">
        <v>10</v>
      </c>
      <c r="K12" s="14" t="str" cm="1">
        <f t="array" ref="K12">INDEX(List!A:A,MATCH(LARGE(List!K:K,ROW(10:10)),List!K:K,0))</f>
        <v>Poland can into space</v>
      </c>
      <c r="L12" s="15" t="str">
        <f>VLOOKUP($K12,List!$A$1:$U$374,2,FALSE)</f>
        <v>As Poland, reach the maximum level in all technologies (32).</v>
      </c>
      <c r="M12" s="16">
        <f>VLOOKUP($K12,List!$A$1:$U$374,3,FALSE)</f>
        <v>2.5999999999999999E-2</v>
      </c>
      <c r="N12" s="17" t="str">
        <f>VLOOKUP($K12,List!$A$1:$U$374,4,FALSE)</f>
        <v>VE</v>
      </c>
      <c r="O12" s="25">
        <f>IF(VLOOKUP($K12,List!$A$1:$U$374,5,FALSE)="","",VLOOKUP($K12,List!$A$1:$U$374,5,FALSE))</f>
        <v>13.7</v>
      </c>
    </row>
    <row r="14" spans="1:15" ht="15.75" x14ac:dyDescent="0.25">
      <c r="A14" s="87" t="s">
        <v>1659</v>
      </c>
      <c r="B14" s="87"/>
      <c r="C14" s="87"/>
      <c r="D14" s="87"/>
      <c r="E14" s="87"/>
      <c r="F14" s="87"/>
      <c r="G14" s="87"/>
      <c r="H14" s="87"/>
      <c r="J14" s="89" t="s">
        <v>1660</v>
      </c>
      <c r="K14" s="89"/>
      <c r="L14" s="89"/>
      <c r="M14" s="89"/>
      <c r="N14" s="89"/>
      <c r="O14" s="89"/>
    </row>
    <row r="15" spans="1:15" ht="25.5" x14ac:dyDescent="0.25">
      <c r="A15" s="11" t="s">
        <v>1640</v>
      </c>
      <c r="B15" s="11" t="s">
        <v>634</v>
      </c>
      <c r="C15" s="11" t="s">
        <v>635</v>
      </c>
      <c r="D15" s="11" t="s">
        <v>637</v>
      </c>
      <c r="E15" s="11" t="s">
        <v>636</v>
      </c>
      <c r="F15" s="11" t="s">
        <v>1668</v>
      </c>
      <c r="G15" s="11" t="s">
        <v>754</v>
      </c>
      <c r="H15" s="11" t="s">
        <v>758</v>
      </c>
      <c r="J15" s="11" t="s">
        <v>1640</v>
      </c>
      <c r="K15" s="11" t="s">
        <v>634</v>
      </c>
      <c r="L15" s="11" t="s">
        <v>635</v>
      </c>
      <c r="M15" s="11" t="s">
        <v>637</v>
      </c>
      <c r="N15" s="11" t="s">
        <v>636</v>
      </c>
      <c r="O15" s="11" t="s">
        <v>1668</v>
      </c>
    </row>
    <row r="16" spans="1:15" ht="22.5" customHeight="1" x14ac:dyDescent="0.25">
      <c r="A16" s="19">
        <v>1</v>
      </c>
      <c r="B16" s="1" t="str" cm="1">
        <f t="array" ref="B16">INDEX(List!A:A,MATCH(LARGE(List!V:V,ROW(1:1)),List!V:V,0))</f>
        <v>A tale of two Families</v>
      </c>
      <c r="C16" s="2" t="str">
        <f>VLOOKUP($B16,List!$A$1:$U$374,2,FALSE)</f>
        <v>Starting as Vijayanagar or Bahmanis conquer the other’s capital and have 
them not exist.</v>
      </c>
      <c r="D16" s="3">
        <f>VLOOKUP($B16,List!$A$1:$U$374,3,FALSE)</f>
        <v>3.5000000000000003E-2</v>
      </c>
      <c r="E16" s="6" t="str">
        <f>VLOOKUP($B16,List!$A$1:$U$374,4,FALSE)</f>
        <v>M</v>
      </c>
      <c r="F16" s="24">
        <f>IF(VLOOKUP($B16,List!$A$1:$U$374,5,FALSE)="","",VLOOKUP($B16,List!$A$1:$U$374,5,FALSE))</f>
        <v>66.25</v>
      </c>
      <c r="G16" s="4" t="str">
        <f>IF(VLOOKUP($B16,List!$A$1:$U$374,15,FALSE)="","",VLOOKUP($B16,List!$A$1:$U$374,15,FALSE))</f>
        <v/>
      </c>
      <c r="H16" s="1" t="str">
        <f>IF(VLOOKUP($B16,List!$A$1:$U$374,16,FALSE)="","",VLOOKUP($B16,List!$A$1:$U$374,16,FALSE))</f>
        <v/>
      </c>
      <c r="J16" s="19">
        <v>1</v>
      </c>
      <c r="K16" s="1" t="str" cm="1">
        <f t="array" ref="K16">INDEX(List!A:A,MATCH(LARGE(List!W:W,ROW(1:1)),List!W:W,0))</f>
        <v>Master of India</v>
      </c>
      <c r="L16" s="2" t="str">
        <f>VLOOKUP($K16,List!$A$1:$U$374,2,FALSE)</f>
        <v>Own and have cores on all of India as a European nation.</v>
      </c>
      <c r="M16" s="3">
        <f>VLOOKUP($K16,List!$A$1:$U$374,3,FALSE)</f>
        <v>2.9000000000000001E-2</v>
      </c>
      <c r="N16" s="6" t="str">
        <f>VLOOKUP($K16,List!$A$1:$U$374,4,FALSE)</f>
        <v>H</v>
      </c>
      <c r="O16" s="24">
        <f>IF(VLOOKUP($K16,List!$A$1:$U$374,5,FALSE)="","",VLOOKUP($K16,List!$A$1:$U$374,5,FALSE))</f>
        <v>135.5</v>
      </c>
    </row>
    <row r="17" spans="1:15" ht="22.5" customHeight="1" x14ac:dyDescent="0.25">
      <c r="A17" s="20">
        <v>2</v>
      </c>
      <c r="B17" s="14" t="str" cm="1">
        <f t="array" ref="B17">INDEX(List!A:A,MATCH(LARGE(List!V:V,ROW(2:2)),List!V:V,0))</f>
        <v>The Spice Must Flow</v>
      </c>
      <c r="C17" s="15" t="str">
        <f>VLOOKUP($B17,List!$A$1:$U$374,2,FALSE)</f>
        <v>Form the nation of Malaya.</v>
      </c>
      <c r="D17" s="16">
        <f>VLOOKUP($B17,List!$A$1:$U$374,3,FALSE)</f>
        <v>3.4000000000000002E-2</v>
      </c>
      <c r="E17" s="17" t="str">
        <f>VLOOKUP($B17,List!$A$1:$U$374,4,FALSE)</f>
        <v>M</v>
      </c>
      <c r="F17" s="25">
        <f>IF(VLOOKUP($B17,List!$A$1:$U$374,5,FALSE)="","",VLOOKUP($B17,List!$A$1:$U$374,5,FALSE))</f>
        <v>66.5</v>
      </c>
      <c r="G17" s="18" t="str">
        <f>IF(VLOOKUP($B17,List!$A$1:$U$374,15,FALSE)="","",VLOOKUP($B17,List!$A$1:$U$374,15,FALSE))</f>
        <v/>
      </c>
      <c r="H17" s="14" t="str">
        <f>IF(VLOOKUP($B17,List!$A$1:$U$374,16,FALSE)="","",VLOOKUP($B17,List!$A$1:$U$374,16,FALSE))</f>
        <v/>
      </c>
      <c r="J17" s="20">
        <v>2</v>
      </c>
      <c r="K17" s="14" t="str" cm="1">
        <f t="array" ref="K17">INDEX(List!A:A,MATCH(LARGE(List!W:W,ROW(2:2)),List!W:W,0))</f>
        <v>Guarantor of Peace</v>
      </c>
      <c r="L17" s="15" t="str">
        <f>VLOOKUP($K17,List!$A$1:$U$374,2,FALSE)</f>
        <v>Guarantee the Independence of France, The Ottoman Empire and Russia.</v>
      </c>
      <c r="M17" s="16">
        <f>VLOOKUP($K17,List!$A$1:$U$374,3,FALSE)</f>
        <v>2.5999999999999999E-2</v>
      </c>
      <c r="N17" s="17" t="str">
        <f>VLOOKUP($K17,List!$A$1:$U$374,4,FALSE)</f>
        <v>H</v>
      </c>
      <c r="O17" s="25">
        <f>IF(VLOOKUP($K17,List!$A$1:$U$374,5,FALSE)="","",VLOOKUP($K17,List!$A$1:$U$374,5,FALSE))</f>
        <v>137</v>
      </c>
    </row>
    <row r="18" spans="1:15" ht="22.5" customHeight="1" x14ac:dyDescent="0.25">
      <c r="A18" s="19">
        <v>3</v>
      </c>
      <c r="B18" s="1" t="str" cm="1">
        <f t="array" ref="B18">INDEX(List!A:A,MATCH(LARGE(List!V:V,ROW(3:3)),List!V:V,0))</f>
        <v>Definitely the Sultan of Rum</v>
      </c>
      <c r="C18" s="2" t="str">
        <f>VLOOKUP($B18,List!$A$1:$U$374,2,FALSE)</f>
        <v>Own and have cores on Rome, Moscow and Istanbul as Ottomans or Rum.</v>
      </c>
      <c r="D18" s="3">
        <f>VLOOKUP($B18,List!$A$1:$U$374,3,FALSE)</f>
        <v>3.1E-2</v>
      </c>
      <c r="E18" s="6" t="str">
        <f>VLOOKUP($B18,List!$A$1:$U$374,4,FALSE)</f>
        <v>M</v>
      </c>
      <c r="F18" s="26">
        <f>IF(VLOOKUP($B18,List!$A$1:$U$374,5,FALSE)="","",VLOOKUP($B18,List!$A$1:$U$374,5,FALSE))</f>
        <v>67.25</v>
      </c>
      <c r="G18" s="4" t="str">
        <f>IF(VLOOKUP($B18,List!$A$1:$U$374,15,FALSE)="","",VLOOKUP($B18,List!$A$1:$U$374,15,FALSE))</f>
        <v/>
      </c>
      <c r="H18" s="1" t="str">
        <f>IF(VLOOKUP($B18,List!$A$1:$U$374,16,FALSE)="","",VLOOKUP($B18,List!$A$1:$U$374,16,FALSE))</f>
        <v/>
      </c>
      <c r="J18" s="19">
        <v>3</v>
      </c>
      <c r="K18" s="1" t="str" cm="1">
        <f t="array" ref="K18">INDEX(List!A:A,MATCH(LARGE(List!W:W,ROW(3:3)),List!W:W,0))</f>
        <v>A Hero’s Welcome</v>
      </c>
      <c r="L18" s="2" t="str">
        <f>VLOOKUP($K18,List!$A$1:$U$374,2,FALSE)</f>
        <v>Starting as Karaman, form the Sultanate of Rum.</v>
      </c>
      <c r="M18" s="3">
        <f>VLOOKUP($K18,List!$A$1:$U$374,3,FALSE)</f>
        <v>1.2999999999999999E-2</v>
      </c>
      <c r="N18" s="6" t="str">
        <f>VLOOKUP($K18,List!$A$1:$U$374,4,FALSE)</f>
        <v>H</v>
      </c>
      <c r="O18" s="26">
        <f>IF(VLOOKUP($K18,List!$A$1:$U$374,5,FALSE)="","",VLOOKUP($K18,List!$A$1:$U$374,5,FALSE))</f>
        <v>143.5</v>
      </c>
    </row>
    <row r="19" spans="1:15" ht="22.5" customHeight="1" x14ac:dyDescent="0.25">
      <c r="A19" s="20">
        <v>4</v>
      </c>
      <c r="B19" s="14" t="str" cm="1">
        <f t="array" ref="B19">INDEX(List!A:A,MATCH(LARGE(List!V:V,ROW(4:4)),List!V:V,0))</f>
        <v>Lion of the North</v>
      </c>
      <c r="C19" s="15" t="str">
        <f>VLOOKUP($B19,List!$A$1:$U$374,2,FALSE)</f>
        <v>Start as Sweden and lead the Protestant League to victory against the 
Emperor.</v>
      </c>
      <c r="D19" s="16">
        <f>VLOOKUP($B19,List!$A$1:$U$374,3,FALSE)</f>
        <v>2.4E-2</v>
      </c>
      <c r="E19" s="17" t="str">
        <f>VLOOKUP($B19,List!$A$1:$U$374,4,FALSE)</f>
        <v>M</v>
      </c>
      <c r="F19" s="25">
        <f>IF(VLOOKUP($B19,List!$A$1:$U$374,5,FALSE)="","",VLOOKUP($B19,List!$A$1:$U$374,5,FALSE))</f>
        <v>69</v>
      </c>
      <c r="G19" s="18" t="str">
        <f>IF(VLOOKUP($B19,List!$A$1:$U$374,15,FALSE)="","",VLOOKUP($B19,List!$A$1:$U$374,15,FALSE))</f>
        <v/>
      </c>
      <c r="H19" s="14" t="str">
        <f>IF(VLOOKUP($B19,List!$A$1:$U$374,16,FALSE)="","",VLOOKUP($B19,List!$A$1:$U$374,16,FALSE))</f>
        <v/>
      </c>
      <c r="J19" s="20">
        <v>4</v>
      </c>
      <c r="K19" s="14" t="str" cm="1">
        <f t="array" ref="K19">INDEX(List!A:A,MATCH(LARGE(List!W:W,ROW(4:4)),List!W:W,0))</f>
        <v>Lazarus</v>
      </c>
      <c r="L19" s="15" t="str">
        <f>VLOOKUP($K19,List!$A$1:$U$374,2,FALSE)</f>
        <v>As Serbia, own the entire Balkans as core provinces.</v>
      </c>
      <c r="M19" s="16">
        <f>VLOOKUP($K19,List!$A$1:$U$374,3,FALSE)</f>
        <v>1.2E-2</v>
      </c>
      <c r="N19" s="17" t="str">
        <f>VLOOKUP($K19,List!$A$1:$U$374,4,FALSE)</f>
        <v>H</v>
      </c>
      <c r="O19" s="25">
        <f>IF(VLOOKUP($K19,List!$A$1:$U$374,5,FALSE)="","",VLOOKUP($K19,List!$A$1:$U$374,5,FALSE))</f>
        <v>144</v>
      </c>
    </row>
    <row r="20" spans="1:15" ht="22.5" customHeight="1" x14ac:dyDescent="0.25">
      <c r="A20" s="19">
        <v>5</v>
      </c>
      <c r="B20" s="1" t="str" cm="1">
        <f t="array" ref="B20">INDEX(List!A:A,MATCH(LARGE(List!V:V,ROW(5:5)),List!V:V,0))</f>
        <v>Spice Girls</v>
      </c>
      <c r="C20" s="2" t="str">
        <f>VLOOKUP($B20,List!$A$1:$U$374,2,FALSE)</f>
        <v>Having a female ruler, have active trading bonuses for Cloves, Spices, 
Salt and Sugar.</v>
      </c>
      <c r="D20" s="3">
        <f>VLOOKUP($B20,List!$A$1:$U$374,3,FALSE)</f>
        <v>0.02</v>
      </c>
      <c r="E20" s="6" t="str">
        <f>VLOOKUP($B20,List!$A$1:$U$374,4,FALSE)</f>
        <v>M</v>
      </c>
      <c r="F20" s="26">
        <f>IF(VLOOKUP($B20,List!$A$1:$U$374,5,FALSE)="","",VLOOKUP($B20,List!$A$1:$U$374,5,FALSE))</f>
        <v>70</v>
      </c>
      <c r="G20" s="4" t="str">
        <f>IF(VLOOKUP($B20,List!$A$1:$U$374,15,FALSE)="","",VLOOKUP($B20,List!$A$1:$U$374,15,FALSE))</f>
        <v/>
      </c>
      <c r="H20" s="1" t="str">
        <f>IF(VLOOKUP($B20,List!$A$1:$U$374,16,FALSE)="","",VLOOKUP($B20,List!$A$1:$U$374,16,FALSE))</f>
        <v/>
      </c>
      <c r="J20" s="19">
        <v>5</v>
      </c>
      <c r="K20" s="1" t="str" cm="1">
        <f t="array" ref="K20">INDEX(List!A:A,MATCH(LARGE(List!W:W,ROW(5:5)),List!W:W,0))</f>
        <v>Rise of the White Sheep</v>
      </c>
      <c r="L20" s="2" t="str">
        <f>VLOOKUP($K20,List!$A$1:$U$374,2,FALSE)</f>
        <v>As Aq Qoyunlu, own Tabriz and have Qara Qoyunlu not exist by 1478.</v>
      </c>
      <c r="M20" s="3">
        <f>VLOOKUP($K20,List!$A$1:$U$374,3,FALSE)</f>
        <v>1.2E-2</v>
      </c>
      <c r="N20" s="6" t="str">
        <f>VLOOKUP($K20,List!$A$1:$U$374,4,FALSE)</f>
        <v>H</v>
      </c>
      <c r="O20" s="26">
        <f>IF(VLOOKUP($K20,List!$A$1:$U$374,5,FALSE)="","",VLOOKUP($K20,List!$A$1:$U$374,5,FALSE))</f>
        <v>144</v>
      </c>
    </row>
    <row r="21" spans="1:15" ht="22.5" customHeight="1" x14ac:dyDescent="0.25">
      <c r="A21" s="20">
        <v>6</v>
      </c>
      <c r="B21" s="14" t="str" cm="1">
        <f t="array" ref="B21">INDEX(List!A:A,MATCH(LARGE(List!V:V,ROW(6:6)),List!V:V,0))</f>
        <v>Sweet Home Qaraqorum</v>
      </c>
      <c r="C21" s="15" t="str">
        <f>VLOOKUP($B21,List!$A$1:$U$374,2,FALSE)</f>
        <v>As the Mughals assimilate Mongolian culture.</v>
      </c>
      <c r="D21" s="16">
        <f>VLOOKUP($B21,List!$A$1:$U$374,3,FALSE)</f>
        <v>1.4999999999999999E-2</v>
      </c>
      <c r="E21" s="17" t="str">
        <f>VLOOKUP($B21,List!$A$1:$U$374,4,FALSE)</f>
        <v>M</v>
      </c>
      <c r="F21" s="25">
        <f>IF(VLOOKUP($B21,List!$A$1:$U$374,5,FALSE)="","",VLOOKUP($B21,List!$A$1:$U$374,5,FALSE))</f>
        <v>71.25</v>
      </c>
      <c r="G21" s="18" t="str">
        <f>IF(VLOOKUP($B21,List!$A$1:$U$374,15,FALSE)="","",VLOOKUP($B21,List!$A$1:$U$374,15,FALSE))</f>
        <v/>
      </c>
      <c r="H21" s="14" t="str">
        <f>IF(VLOOKUP($B21,List!$A$1:$U$374,16,FALSE)="","",VLOOKUP($B21,List!$A$1:$U$374,16,FALSE))</f>
        <v/>
      </c>
      <c r="J21" s="20">
        <v>6</v>
      </c>
      <c r="K21" s="14" t="str" cm="1">
        <f t="array" ref="K21">INDEX(List!A:A,MATCH(LARGE(List!W:W,ROW(6:6)),List!W:W,0))</f>
        <v>Choson One</v>
      </c>
      <c r="L21" s="15" t="str">
        <f>VLOOKUP($K21,List!$A$1:$U$374,2,FALSE)</f>
        <v>As Korea, own or have a subject own all Shinto, Confucian and Buddhist 
provinces in the world.</v>
      </c>
      <c r="M21" s="16">
        <f>VLOOKUP($K21,List!$A$1:$U$374,3,FALSE)</f>
        <v>1.0999999999999999E-2</v>
      </c>
      <c r="N21" s="17" t="str">
        <f>VLOOKUP($K21,List!$A$1:$U$374,4,FALSE)</f>
        <v>H</v>
      </c>
      <c r="O21" s="25">
        <f>IF(VLOOKUP($K21,List!$A$1:$U$374,5,FALSE)="","",VLOOKUP($K21,List!$A$1:$U$374,5,FALSE))</f>
        <v>144.5</v>
      </c>
    </row>
    <row r="22" spans="1:15" ht="22.5" customHeight="1" x14ac:dyDescent="0.25">
      <c r="A22" s="19">
        <v>7</v>
      </c>
      <c r="B22" s="1" t="str" cm="1">
        <f t="array" ref="B22">INDEX(List!A:A,MATCH(LARGE(List!V:V,ROW(7:7)),List!V:V,0))</f>
        <v>The Uncommonwealth</v>
      </c>
      <c r="C22" s="2" t="str">
        <f>VLOOKUP($B22,List!$A$1:$U$374,2,FALSE)</f>
        <v>As Lithuania, become The Commonwealth.</v>
      </c>
      <c r="D22" s="3">
        <f>VLOOKUP($B22,List!$A$1:$U$374,3,FALSE)</f>
        <v>1.4999999999999999E-2</v>
      </c>
      <c r="E22" s="6" t="str">
        <f>VLOOKUP($B22,List!$A$1:$U$374,4,FALSE)</f>
        <v>M</v>
      </c>
      <c r="F22" s="26">
        <f>IF(VLOOKUP($B22,List!$A$1:$U$374,5,FALSE)="","",VLOOKUP($B22,List!$A$1:$U$374,5,FALSE))</f>
        <v>71.25</v>
      </c>
      <c r="G22" s="4" t="str">
        <f>IF(VLOOKUP($B22,List!$A$1:$U$374,15,FALSE)="","",VLOOKUP($B22,List!$A$1:$U$374,15,FALSE))</f>
        <v/>
      </c>
      <c r="H22" s="1" t="str">
        <f>IF(VLOOKUP($B22,List!$A$1:$U$374,16,FALSE)="","",VLOOKUP($B22,List!$A$1:$U$374,16,FALSE))</f>
        <v/>
      </c>
      <c r="J22" s="19">
        <v>7</v>
      </c>
      <c r="K22" s="1" t="str" cm="1">
        <f t="array" ref="K22">INDEX(List!A:A,MATCH(LARGE(List!W:W,ROW(7:7)),List!W:W,0))</f>
        <v>Lucky Lucca</v>
      </c>
      <c r="L22" s="2" t="str">
        <f>VLOOKUP($K22,List!$A$1:$U$374,2,FALSE)</f>
        <v>As Lucca, own Lucknow!</v>
      </c>
      <c r="M22" s="3">
        <f>VLOOKUP($K22,List!$A$1:$U$374,3,FALSE)</f>
        <v>8.9999999999999993E-3</v>
      </c>
      <c r="N22" s="6" t="str">
        <f>VLOOKUP($K22,List!$A$1:$U$374,4,FALSE)</f>
        <v>H</v>
      </c>
      <c r="O22" s="26">
        <f>IF(VLOOKUP($K22,List!$A$1:$U$374,5,FALSE)="","",VLOOKUP($K22,List!$A$1:$U$374,5,FALSE))</f>
        <v>145.5</v>
      </c>
    </row>
    <row r="23" spans="1:15" ht="22.5" customHeight="1" x14ac:dyDescent="0.25">
      <c r="A23" s="20">
        <v>8</v>
      </c>
      <c r="B23" s="14" t="str" cm="1">
        <f t="array" ref="B23">INDEX(List!A:A,MATCH(LARGE(List!V:V,ROW(8:8)),List!V:V,0))</f>
        <v>Bengal Tiger</v>
      </c>
      <c r="C23" s="15" t="str">
        <f>VLOOKUP($B23,List!$A$1:$U$374,2,FALSE)</f>
        <v>Start as Bengal and own Samarkand as a core province.</v>
      </c>
      <c r="D23" s="16">
        <f>VLOOKUP($B23,List!$A$1:$U$374,3,FALSE)</f>
        <v>1.4999999999999999E-2</v>
      </c>
      <c r="E23" s="17" t="str">
        <f>VLOOKUP($B23,List!$A$1:$U$374,4,FALSE)</f>
        <v>M</v>
      </c>
      <c r="F23" s="25">
        <f>IF(VLOOKUP($B23,List!$A$1:$U$374,5,FALSE)="","",VLOOKUP($B23,List!$A$1:$U$374,5,FALSE))</f>
        <v>71.25</v>
      </c>
      <c r="G23" s="18" t="str">
        <f>IF(VLOOKUP($B23,List!$A$1:$U$374,15,FALSE)="","",VLOOKUP($B23,List!$A$1:$U$374,15,FALSE))</f>
        <v/>
      </c>
      <c r="H23" s="14" t="str">
        <f>IF(VLOOKUP($B23,List!$A$1:$U$374,16,FALSE)="","",VLOOKUP($B23,List!$A$1:$U$374,16,FALSE))</f>
        <v/>
      </c>
      <c r="J23" s="20">
        <v>8</v>
      </c>
      <c r="K23" s="14" t="str" cm="1">
        <f t="array" ref="K23">INDEX(List!A:A,MATCH(LARGE(List!W:W,ROW(8:8)),List!W:W,0))</f>
        <v>Meissner Porcelain</v>
      </c>
      <c r="L23" s="15" t="str">
        <f>VLOOKUP($K23,List!$A$1:$U$374,2,FALSE)</f>
        <v>As Saxony, own or have a subject own all Chinaware provinces in the world.</v>
      </c>
      <c r="M23" s="16">
        <f>VLOOKUP($K23,List!$A$1:$U$374,3,FALSE)</f>
        <v>8.0000000000000002E-3</v>
      </c>
      <c r="N23" s="17" t="str">
        <f>VLOOKUP($K23,List!$A$1:$U$374,4,FALSE)</f>
        <v>H</v>
      </c>
      <c r="O23" s="25">
        <f>IF(VLOOKUP($K23,List!$A$1:$U$374,5,FALSE)="","",VLOOKUP($K23,List!$A$1:$U$374,5,FALSE))</f>
        <v>146</v>
      </c>
    </row>
    <row r="24" spans="1:15" ht="22.5" customHeight="1" x14ac:dyDescent="0.25">
      <c r="A24" s="19">
        <v>9</v>
      </c>
      <c r="B24" s="1" t="str" cm="1">
        <f t="array" ref="B24">INDEX(List!A:A,MATCH(LARGE(List!V:V,ROW(9:9)),List!V:V,0))</f>
        <v>Sons of Carthage</v>
      </c>
      <c r="C24" s="2" t="str">
        <f>VLOOKUP($B24,List!$A$1:$U$374,2,FALSE)</f>
        <v>As Tunisia, own and have cores on Sicily, Sardinia, the Balearic Islands, 
the coast of Algiers and the southern coast of Spain.</v>
      </c>
      <c r="D24" s="3">
        <f>VLOOKUP($B24,List!$A$1:$U$374,3,FALSE)</f>
        <v>1.4E-2</v>
      </c>
      <c r="E24" s="6" t="str">
        <f>VLOOKUP($B24,List!$A$1:$U$374,4,FALSE)</f>
        <v>M</v>
      </c>
      <c r="F24" s="26">
        <f>IF(VLOOKUP($B24,List!$A$1:$U$374,5,FALSE)="","",VLOOKUP($B24,List!$A$1:$U$374,5,FALSE))</f>
        <v>71.5</v>
      </c>
      <c r="G24" s="4" t="str">
        <f>IF(VLOOKUP($B24,List!$A$1:$U$374,15,FALSE)="","",VLOOKUP($B24,List!$A$1:$U$374,15,FALSE))</f>
        <v/>
      </c>
      <c r="H24" s="1" t="str">
        <f>IF(VLOOKUP($B24,List!$A$1:$U$374,16,FALSE)="","",VLOOKUP($B24,List!$A$1:$U$374,16,FALSE))</f>
        <v/>
      </c>
      <c r="J24" s="19">
        <v>9</v>
      </c>
      <c r="K24" s="1" t="str" cm="1">
        <f t="array" ref="K24">INDEX(List!A:A,MATCH(LARGE(List!W:W,ROW(9:9)),List!W:W,0))</f>
        <v>Philippine Tiger</v>
      </c>
      <c r="L24" s="2" t="str">
        <f>VLOOKUP($K24,List!$A$1:$U$374,2,FALSE)</f>
        <v>As Cebu, recreate the Chola Empire.</v>
      </c>
      <c r="M24" s="3">
        <f>VLOOKUP($K24,List!$A$1:$U$374,3,FALSE)</f>
        <v>8.0000000000000002E-3</v>
      </c>
      <c r="N24" s="6" t="str">
        <f>VLOOKUP($K24,List!$A$1:$U$374,4,FALSE)</f>
        <v>H</v>
      </c>
      <c r="O24" s="26">
        <f>IF(VLOOKUP($K24,List!$A$1:$U$374,5,FALSE)="","",VLOOKUP($K24,List!$A$1:$U$374,5,FALSE))</f>
        <v>146</v>
      </c>
    </row>
    <row r="25" spans="1:15" ht="22.5" customHeight="1" x14ac:dyDescent="0.25">
      <c r="A25" s="20">
        <v>10</v>
      </c>
      <c r="B25" s="14" t="str" cm="1">
        <f t="array" ref="B25">INDEX(List!A:A,MATCH(LARGE(List!V:V,ROW(10:10)),List!V:V,0))</f>
        <v>Parisian Pasha</v>
      </c>
      <c r="C25" s="15" t="str">
        <f>VLOOKUP($B25,List!$A$1:$U$374,2,FALSE)</f>
        <v>Assign Pasha to Paris.</v>
      </c>
      <c r="D25" s="16">
        <f>VLOOKUP($B25,List!$A$1:$U$374,3,FALSE)</f>
        <v>1.2999999999999999E-2</v>
      </c>
      <c r="E25" s="17" t="str">
        <f>VLOOKUP($B25,List!$A$1:$U$374,4,FALSE)</f>
        <v>M</v>
      </c>
      <c r="F25" s="25">
        <f>IF(VLOOKUP($B25,List!$A$1:$U$374,5,FALSE)="","",VLOOKUP($B25,List!$A$1:$U$374,5,FALSE))</f>
        <v>71.75</v>
      </c>
      <c r="G25" s="18" t="str">
        <f>IF(VLOOKUP($B25,List!$A$1:$U$374,15,FALSE)="","",VLOOKUP($B25,List!$A$1:$U$374,15,FALSE))</f>
        <v/>
      </c>
      <c r="H25" s="14" t="str">
        <f>IF(VLOOKUP($B25,List!$A$1:$U$374,16,FALSE)="","",VLOOKUP($B25,List!$A$1:$U$374,16,FALSE))</f>
        <v/>
      </c>
      <c r="J25" s="20">
        <v>10</v>
      </c>
      <c r="K25" s="14" t="str" cm="1">
        <f t="array" ref="K25">INDEX(List!A:A,MATCH(LARGE(List!W:W,ROW(10:10)),List!W:W,0))</f>
        <v>Holy Horder</v>
      </c>
      <c r="L25" s="15" t="str">
        <f>VLOOKUP($K25,List!$A$1:$U$374,2,FALSE)</f>
        <v>Starting as the Teutonic Order, form the Mongol Empire while have the Holy 
Horde government reform enacted.</v>
      </c>
      <c r="M25" s="16">
        <f>VLOOKUP($K25,List!$A$1:$U$374,3,FALSE)</f>
        <v>8.0000000000000002E-3</v>
      </c>
      <c r="N25" s="17" t="str">
        <f>VLOOKUP($K25,List!$A$1:$U$374,4,FALSE)</f>
        <v>H</v>
      </c>
      <c r="O25" s="25">
        <f>IF(VLOOKUP($K25,List!$A$1:$U$374,5,FALSE)="","",VLOOKUP($K25,List!$A$1:$U$374,5,FALSE))</f>
        <v>146</v>
      </c>
    </row>
    <row r="27" spans="1:15" ht="15.75" x14ac:dyDescent="0.25">
      <c r="A27" s="85" t="s">
        <v>1673</v>
      </c>
      <c r="B27" s="85"/>
      <c r="C27" s="85"/>
      <c r="D27" s="85"/>
      <c r="E27" s="85"/>
      <c r="F27" s="85"/>
      <c r="G27" s="85"/>
      <c r="H27" s="85"/>
    </row>
    <row r="28" spans="1:15" ht="25.5" x14ac:dyDescent="0.25">
      <c r="A28" s="11" t="s">
        <v>1640</v>
      </c>
      <c r="B28" s="11" t="s">
        <v>634</v>
      </c>
      <c r="C28" s="11" t="s">
        <v>635</v>
      </c>
      <c r="D28" s="11" t="s">
        <v>637</v>
      </c>
      <c r="E28" s="11" t="s">
        <v>636</v>
      </c>
      <c r="F28" s="11" t="s">
        <v>1668</v>
      </c>
      <c r="G28" s="11" t="s">
        <v>754</v>
      </c>
      <c r="H28" s="11" t="s">
        <v>758</v>
      </c>
    </row>
    <row r="29" spans="1:15" ht="22.5" customHeight="1" x14ac:dyDescent="0.25">
      <c r="A29" s="19">
        <v>1</v>
      </c>
      <c r="B29" s="1" t="str" cm="1">
        <f t="array" ref="B29">INDEX(List!A:A,MATCH(LARGE(List!X:X,ROW(1:1)),List!X:X,0))</f>
        <v>Liberty or Death</v>
      </c>
      <c r="C29" s="2" t="str">
        <f>VLOOKUP($B29,List!$A$1:$U$374,2,FALSE)</f>
        <v>Start as USA in 1776 bookmark and own all your cores while being at peace.</v>
      </c>
      <c r="D29" s="3">
        <f>VLOOKUP($B29,List!$A$1:$U$374,3,FALSE)</f>
        <v>3.6999999999999998E-2</v>
      </c>
      <c r="E29" s="6" t="str">
        <f>VLOOKUP($B29,List!$A$1:$U$374,4,FALSE)</f>
        <v>VE</v>
      </c>
      <c r="F29" s="24">
        <f>IF(VLOOKUP($B29,List!$A$1:$U$374,5,FALSE)="","",VLOOKUP($B29,List!$A$1:$U$374,5,FALSE))</f>
        <v>13.15</v>
      </c>
      <c r="G29" s="4" t="str">
        <f>IF(VLOOKUP($B29,List!$A$1:$U$374,15,FALSE)="","",VLOOKUP($B29,List!$A$1:$U$374,15,FALSE))</f>
        <v/>
      </c>
      <c r="H29" s="1" t="str">
        <f>IF(VLOOKUP($B29,List!$A$1:$U$374,16,FALSE)="","",VLOOKUP($B29,List!$A$1:$U$374,16,FALSE))</f>
        <v/>
      </c>
    </row>
    <row r="30" spans="1:15" ht="22.5" customHeight="1" x14ac:dyDescent="0.25">
      <c r="A30" s="20">
        <v>2</v>
      </c>
      <c r="B30" s="14" t="str" cm="1">
        <f t="array" ref="B30">INDEX(List!A:A,MATCH(LARGE(List!X:X,ROW(2:2)),List!X:X,0))</f>
        <v>Poland can into space</v>
      </c>
      <c r="C30" s="15" t="str">
        <f>VLOOKUP($B30,List!$A$1:$U$374,2,FALSE)</f>
        <v>As Poland, reach the maximum level in all technologies (32).</v>
      </c>
      <c r="D30" s="16">
        <f>VLOOKUP($B30,List!$A$1:$U$374,3,FALSE)</f>
        <v>2.5999999999999999E-2</v>
      </c>
      <c r="E30" s="17" t="str">
        <f>VLOOKUP($B30,List!$A$1:$U$374,4,FALSE)</f>
        <v>VE</v>
      </c>
      <c r="F30" s="25">
        <f>IF(VLOOKUP($B30,List!$A$1:$U$374,5,FALSE)="","",VLOOKUP($B30,List!$A$1:$U$374,5,FALSE))</f>
        <v>13.7</v>
      </c>
      <c r="G30" s="18" t="str">
        <f>IF(VLOOKUP($B30,List!$A$1:$U$374,15,FALSE)="","",VLOOKUP($B30,List!$A$1:$U$374,15,FALSE))</f>
        <v/>
      </c>
      <c r="H30" s="14" t="str">
        <f>IF(VLOOKUP($B30,List!$A$1:$U$374,16,FALSE)="","",VLOOKUP($B30,List!$A$1:$U$374,16,FALSE))</f>
        <v/>
      </c>
    </row>
    <row r="31" spans="1:15" ht="22.5" customHeight="1" x14ac:dyDescent="0.25">
      <c r="A31" s="19">
        <v>3</v>
      </c>
      <c r="B31" s="1" t="str" cm="1">
        <f t="array" ref="B31">INDEX(List!A:A,MATCH(LARGE(List!X:X,ROW(3:3)),List!X:X,0))</f>
        <v>The Six Nations</v>
      </c>
      <c r="C31" s="2" t="str">
        <f>VLOOKUP($B31,List!$A$1:$U$374,2,FALSE)</f>
        <v>Form a Federation of at least six nations as the Iroquois.</v>
      </c>
      <c r="D31" s="3">
        <f>VLOOKUP($B31,List!$A$1:$U$374,3,FALSE)</f>
        <v>1.7000000000000001E-2</v>
      </c>
      <c r="E31" s="6" t="str">
        <f>VLOOKUP($B31,List!$A$1:$U$374,4,FALSE)</f>
        <v>VE</v>
      </c>
      <c r="F31" s="26">
        <f>IF(VLOOKUP($B31,List!$A$1:$U$374,5,FALSE)="","",VLOOKUP($B31,List!$A$1:$U$374,5,FALSE))</f>
        <v>14.15</v>
      </c>
      <c r="G31" s="4" t="str">
        <f>IF(VLOOKUP($B31,List!$A$1:$U$374,15,FALSE)="","",VLOOKUP($B31,List!$A$1:$U$374,15,FALSE))</f>
        <v/>
      </c>
      <c r="H31" s="1" t="str">
        <f>IF(VLOOKUP($B31,List!$A$1:$U$374,16,FALSE)="","",VLOOKUP($B31,List!$A$1:$U$374,16,FALSE))</f>
        <v/>
      </c>
    </row>
    <row r="32" spans="1:15" ht="22.5" customHeight="1" x14ac:dyDescent="0.25">
      <c r="A32" s="20">
        <v>4</v>
      </c>
      <c r="B32" s="14" t="str" cm="1">
        <f t="array" ref="B32">INDEX(List!A:A,MATCH(LARGE(List!X:X,ROW(4:4)),List!X:X,0))</f>
        <v>From Humble Origins</v>
      </c>
      <c r="C32" s="15" t="str">
        <f>VLOOKUP($B32,List!$A$1:$U$374,2,FALSE)</f>
        <v>Starting as a custom nation with no more than 50 points, have at least 
2000 total development.</v>
      </c>
      <c r="D32" s="16">
        <f>VLOOKUP($B32,List!$A$1:$U$374,3,FALSE)</f>
        <v>1.2999999999999999E-2</v>
      </c>
      <c r="E32" s="17" t="str">
        <f>VLOOKUP($B32,List!$A$1:$U$374,4,FALSE)</f>
        <v>VE</v>
      </c>
      <c r="F32" s="25">
        <f>IF(VLOOKUP($B32,List!$A$1:$U$374,5,FALSE)="","",VLOOKUP($B32,List!$A$1:$U$374,5,FALSE))</f>
        <v>14.35</v>
      </c>
      <c r="G32" s="18" t="str">
        <f>IF(VLOOKUP($B32,List!$A$1:$U$374,15,FALSE)="","",VLOOKUP($B32,List!$A$1:$U$374,15,FALSE))</f>
        <v/>
      </c>
      <c r="H32" s="14" t="str">
        <f>IF(VLOOKUP($B32,List!$A$1:$U$374,16,FALSE)="","",VLOOKUP($B32,List!$A$1:$U$374,16,FALSE))</f>
        <v/>
      </c>
    </row>
    <row r="33" spans="1:8" ht="22.5" customHeight="1" x14ac:dyDescent="0.25">
      <c r="A33" s="19">
        <v>5</v>
      </c>
      <c r="B33" s="1" t="str" cm="1">
        <f t="array" ref="B33">INDEX(List!A:A,MATCH(LARGE(List!X:X,ROW(5:5)),List!X:X,0))</f>
        <v>David the Builder</v>
      </c>
      <c r="C33" s="2" t="str">
        <f>VLOOKUP($B33,List!$A$1:$U$374,2,FALSE)</f>
        <v>As Georgia have no free building slots in any owned province.</v>
      </c>
      <c r="D33" s="3">
        <f>VLOOKUP($B33,List!$A$1:$U$374,3,FALSE)</f>
        <v>1.2E-2</v>
      </c>
      <c r="E33" s="6" t="str">
        <f>VLOOKUP($B33,List!$A$1:$U$374,4,FALSE)</f>
        <v>VE</v>
      </c>
      <c r="F33" s="26">
        <f>IF(VLOOKUP($B33,List!$A$1:$U$374,5,FALSE)="","",VLOOKUP($B33,List!$A$1:$U$374,5,FALSE))</f>
        <v>14.4</v>
      </c>
      <c r="G33" s="4" t="str">
        <f>IF(VLOOKUP($B33,List!$A$1:$U$374,15,FALSE)="","",VLOOKUP($B33,List!$A$1:$U$374,15,FALSE))</f>
        <v/>
      </c>
      <c r="H33" s="1" t="str">
        <f>IF(VLOOKUP($B33,List!$A$1:$U$374,16,FALSE)="","",VLOOKUP($B33,List!$A$1:$U$374,16,FALSE))</f>
        <v/>
      </c>
    </row>
    <row r="34" spans="1:8" ht="22.5" customHeight="1" x14ac:dyDescent="0.25">
      <c r="A34" s="20">
        <v>6</v>
      </c>
      <c r="B34" s="14" t="str" cm="1">
        <f t="array" ref="B34">INDEX(List!A:A,MATCH(LARGE(List!X:X,ROW(6:6)),List!X:X,0))</f>
        <v>Sakoku Law</v>
      </c>
      <c r="C34" s="15" t="str">
        <f>VLOOKUP($B34,List!$A$1:$U$374,2,FALSE)</f>
        <v>Go full isolationist in 6 Incidents.</v>
      </c>
      <c r="D34" s="16">
        <f>VLOOKUP($B34,List!$A$1:$U$374,3,FALSE)</f>
        <v>0.01</v>
      </c>
      <c r="E34" s="17" t="str">
        <f>VLOOKUP($B34,List!$A$1:$U$374,4,FALSE)</f>
        <v>VE</v>
      </c>
      <c r="F34" s="25">
        <f>IF(VLOOKUP($B34,List!$A$1:$U$374,5,FALSE)="","",VLOOKUP($B34,List!$A$1:$U$374,5,FALSE))</f>
        <v>14.5</v>
      </c>
      <c r="G34" s="18" t="str">
        <f>IF(VLOOKUP($B34,List!$A$1:$U$374,15,FALSE)="","",VLOOKUP($B34,List!$A$1:$U$374,15,FALSE))</f>
        <v/>
      </c>
      <c r="H34" s="14" t="str">
        <f>IF(VLOOKUP($B34,List!$A$1:$U$374,16,FALSE)="","",VLOOKUP($B34,List!$A$1:$U$374,16,FALSE))</f>
        <v/>
      </c>
    </row>
    <row r="35" spans="1:8" ht="22.5" customHeight="1" x14ac:dyDescent="0.25">
      <c r="A35" s="19">
        <v>7</v>
      </c>
      <c r="B35" s="1" t="str" cm="1">
        <f t="array" ref="B35">INDEX(List!A:A,MATCH(LARGE(List!X:X,ROW(7:7)),List!X:X,0))</f>
        <v>Truly Good Maaaaa-tch</v>
      </c>
      <c r="C35" s="2" t="str">
        <f>VLOOKUP($B35,List!$A$1:$U$374,2,FALSE)</f>
        <v>Starting as either Aq Qoyunlu or Qara Qoyunlu, have a royal marriage and 
an alliance with Ramazan.</v>
      </c>
      <c r="D35" s="3">
        <f>VLOOKUP($B35,List!$A$1:$U$374,3,FALSE)</f>
        <v>7.0000000000000001E-3</v>
      </c>
      <c r="E35" s="6" t="str">
        <f>VLOOKUP($B35,List!$A$1:$U$374,4,FALSE)</f>
        <v>VE</v>
      </c>
      <c r="F35" s="26">
        <f>IF(VLOOKUP($B35,List!$A$1:$U$374,5,FALSE)="","",VLOOKUP($B35,List!$A$1:$U$374,5,FALSE))</f>
        <v>14.65</v>
      </c>
      <c r="G35" s="4" t="str">
        <f>IF(VLOOKUP($B35,List!$A$1:$U$374,15,FALSE)="","",VLOOKUP($B35,List!$A$1:$U$374,15,FALSE))</f>
        <v/>
      </c>
      <c r="H35" s="1" t="str">
        <f>IF(VLOOKUP($B35,List!$A$1:$U$374,16,FALSE)="","",VLOOKUP($B35,List!$A$1:$U$374,16,FALSE))</f>
        <v/>
      </c>
    </row>
    <row r="36" spans="1:8" ht="22.5" customHeight="1" x14ac:dyDescent="0.25">
      <c r="A36" s="20">
        <v>8</v>
      </c>
      <c r="B36" s="14" t="str" cm="1">
        <f t="array" ref="B36">INDEX(List!A:A,MATCH(LARGE(List!X:X,ROW(8:8)),List!X:X,0))</f>
        <v>Imposter Syndrome</v>
      </c>
      <c r="C36" s="15" t="str">
        <f>VLOOKUP($B36,List!$A$1:$U$374,2,FALSE)</f>
        <v>As Sus, have three countries hostile to you (less than 0 opinion) after 
they discovered your spy.</v>
      </c>
      <c r="D36" s="16">
        <f>VLOOKUP($B36,List!$A$1:$U$374,3,FALSE)</f>
        <v>6.0000000000000001E-3</v>
      </c>
      <c r="E36" s="17" t="str">
        <f>VLOOKUP($B36,List!$A$1:$U$374,4,FALSE)</f>
        <v>VE</v>
      </c>
      <c r="F36" s="25">
        <f>IF(VLOOKUP($B36,List!$A$1:$U$374,5,FALSE)="","",VLOOKUP($B36,List!$A$1:$U$374,5,FALSE))</f>
        <v>14.7</v>
      </c>
      <c r="G36" s="18" t="str">
        <f>IF(VLOOKUP($B36,List!$A$1:$U$374,15,FALSE)="","",VLOOKUP($B36,List!$A$1:$U$374,15,FALSE))</f>
        <v/>
      </c>
      <c r="H36" s="14" t="str">
        <f>IF(VLOOKUP($B36,List!$A$1:$U$374,16,FALSE)="","",VLOOKUP($B36,List!$A$1:$U$374,16,FALSE))</f>
        <v/>
      </c>
    </row>
    <row r="37" spans="1:8" ht="22.5" customHeight="1" x14ac:dyDescent="0.25">
      <c r="A37" s="19">
        <v>9</v>
      </c>
      <c r="B37" s="1" t="e" cm="1">
        <f t="array" ref="B37">INDEX(List!A:A,MATCH(LARGE(List!X:X,ROW(9:9)),List!X:X,0))</f>
        <v>#NUM!</v>
      </c>
      <c r="C37" s="2" t="e">
        <f>VLOOKUP($B37,List!$A$1:$U$374,2,FALSE)</f>
        <v>#NUM!</v>
      </c>
      <c r="D37" s="3" t="e">
        <f>VLOOKUP($B37,List!$A$1:$U$374,3,FALSE)</f>
        <v>#NUM!</v>
      </c>
      <c r="E37" s="6" t="e">
        <f>VLOOKUP($B37,List!$A$1:$U$374,4,FALSE)</f>
        <v>#NUM!</v>
      </c>
      <c r="F37" s="26" t="e">
        <f>IF(VLOOKUP($B37,List!$A$1:$U$374,5,FALSE)="","",VLOOKUP($B37,List!$A$1:$U$374,5,FALSE))</f>
        <v>#NUM!</v>
      </c>
      <c r="G37" s="4" t="e">
        <f>IF(VLOOKUP($B37,List!$A$1:$U$374,15,FALSE)="","",VLOOKUP($B37,List!$A$1:$U$374,15,FALSE))</f>
        <v>#NUM!</v>
      </c>
      <c r="H37" s="1" t="e">
        <f>IF(VLOOKUP($B37,List!$A$1:$U$374,16,FALSE)="","",VLOOKUP($B37,List!$A$1:$U$374,16,FALSE))</f>
        <v>#NUM!</v>
      </c>
    </row>
    <row r="38" spans="1:8" ht="22.5" customHeight="1" x14ac:dyDescent="0.25">
      <c r="A38" s="20">
        <v>10</v>
      </c>
      <c r="B38" s="14" t="e" cm="1">
        <f t="array" ref="B38">INDEX(List!A:A,MATCH(LARGE(List!X:X,ROW(10:10)),List!X:X,0))</f>
        <v>#NUM!</v>
      </c>
      <c r="C38" s="15" t="e">
        <f>VLOOKUP($B38,List!$A$1:$U$374,2,FALSE)</f>
        <v>#NUM!</v>
      </c>
      <c r="D38" s="16" t="e">
        <f>VLOOKUP($B38,List!$A$1:$U$374,3,FALSE)</f>
        <v>#NUM!</v>
      </c>
      <c r="E38" s="17" t="e">
        <f>VLOOKUP($B38,List!$A$1:$U$374,4,FALSE)</f>
        <v>#NUM!</v>
      </c>
      <c r="F38" s="25" t="e">
        <f>IF(VLOOKUP($B38,List!$A$1:$U$374,5,FALSE)="","",VLOOKUP($B38,List!$A$1:$U$374,5,FALSE))</f>
        <v>#NUM!</v>
      </c>
      <c r="G38" s="18" t="e">
        <f>IF(VLOOKUP($B38,List!$A$1:$U$374,15,FALSE)="","",VLOOKUP($B38,List!$A$1:$U$374,15,FALSE))</f>
        <v>#NUM!</v>
      </c>
      <c r="H38" s="14" t="e">
        <f>IF(VLOOKUP($B38,List!$A$1:$U$374,16,FALSE)="","",VLOOKUP($B38,List!$A$1:$U$374,16,FALSE))</f>
        <v>#NUM!</v>
      </c>
    </row>
  </sheetData>
  <mergeCells count="5">
    <mergeCell ref="A27:H27"/>
    <mergeCell ref="A1:H1"/>
    <mergeCell ref="A14:H14"/>
    <mergeCell ref="J1:O1"/>
    <mergeCell ref="J14:O14"/>
  </mergeCells>
  <conditionalFormatting sqref="A2:B2 G2:H2 J2:K2 A15:B15 G15:H15">
    <cfRule type="expression" dxfId="91" priority="106">
      <formula>D2="Y"</formula>
    </cfRule>
  </conditionalFormatting>
  <conditionalFormatting sqref="A28:B28 G28:H28">
    <cfRule type="expression" dxfId="90" priority="9">
      <formula>D28="Y"</formula>
    </cfRule>
  </conditionalFormatting>
  <conditionalFormatting sqref="A2:E2 G2:H2 L2:M2 C3:D12 A15:E15 G15:H15 C16:D25">
    <cfRule type="expression" dxfId="89" priority="127">
      <formula>#REF!="Y"</formula>
    </cfRule>
  </conditionalFormatting>
  <conditionalFormatting sqref="A28:E28 G28:H28 C29:D38">
    <cfRule type="expression" dxfId="88" priority="18">
      <formula>#REF!="Y"</formula>
    </cfRule>
  </conditionalFormatting>
  <conditionalFormatting sqref="C2:F2">
    <cfRule type="expression" dxfId="87" priority="51">
      <formula>G2="Y"</formula>
    </cfRule>
  </conditionalFormatting>
  <conditionalFormatting sqref="C15:F15">
    <cfRule type="expression" dxfId="86" priority="43">
      <formula>G15="Y"</formula>
    </cfRule>
  </conditionalFormatting>
  <conditionalFormatting sqref="C28:F28">
    <cfRule type="expression" dxfId="85" priority="8">
      <formula>G28="Y"</formula>
    </cfRule>
  </conditionalFormatting>
  <conditionalFormatting sqref="E3:E12">
    <cfRule type="cellIs" dxfId="84" priority="114" operator="equal">
      <formula>"M"</formula>
    </cfRule>
    <cfRule type="cellIs" dxfId="83" priority="115" operator="equal">
      <formula>"E"</formula>
    </cfRule>
    <cfRule type="cellIs" dxfId="82" priority="116" operator="equal">
      <formula>"VE"</formula>
    </cfRule>
    <cfRule type="cellIs" dxfId="81" priority="112" operator="equal">
      <formula>"VH"</formula>
    </cfRule>
    <cfRule type="cellIs" dxfId="80" priority="111" operator="equal">
      <formula>"I"</formula>
    </cfRule>
    <cfRule type="cellIs" dxfId="79" priority="113" operator="equal">
      <formula>"H"</formula>
    </cfRule>
  </conditionalFormatting>
  <conditionalFormatting sqref="E16:E25">
    <cfRule type="cellIs" dxfId="78" priority="121" operator="equal">
      <formula>"E"</formula>
    </cfRule>
    <cfRule type="cellIs" dxfId="77" priority="117" operator="equal">
      <formula>"I"</formula>
    </cfRule>
    <cfRule type="cellIs" dxfId="76" priority="118" operator="equal">
      <formula>"VH"</formula>
    </cfRule>
    <cfRule type="cellIs" dxfId="75" priority="119" operator="equal">
      <formula>"H"</formula>
    </cfRule>
    <cfRule type="cellIs" dxfId="74" priority="120" operator="equal">
      <formula>"M"</formula>
    </cfRule>
    <cfRule type="cellIs" dxfId="73" priority="122" operator="equal">
      <formula>"VE"</formula>
    </cfRule>
  </conditionalFormatting>
  <conditionalFormatting sqref="E29:E38">
    <cfRule type="cellIs" dxfId="72" priority="12" operator="equal">
      <formula>"I"</formula>
    </cfRule>
    <cfRule type="cellIs" dxfId="71" priority="13" operator="equal">
      <formula>"VH"</formula>
    </cfRule>
    <cfRule type="cellIs" dxfId="70" priority="14" operator="equal">
      <formula>"H"</formula>
    </cfRule>
    <cfRule type="cellIs" dxfId="69" priority="15" operator="equal">
      <formula>"M"</formula>
    </cfRule>
    <cfRule type="cellIs" dxfId="68" priority="16" operator="equal">
      <formula>"E"</formula>
    </cfRule>
    <cfRule type="cellIs" dxfId="67" priority="17" operator="equal">
      <formula>"VE"</formula>
    </cfRule>
  </conditionalFormatting>
  <conditionalFormatting sqref="F3">
    <cfRule type="cellIs" dxfId="66" priority="44" operator="equal">
      <formula>"Y"</formula>
    </cfRule>
  </conditionalFormatting>
  <conditionalFormatting sqref="F4:F12">
    <cfRule type="cellIs" dxfId="65" priority="47" operator="equal">
      <formula>"H"</formula>
    </cfRule>
    <cfRule type="cellIs" dxfId="64" priority="46" operator="equal">
      <formula>"VH"</formula>
    </cfRule>
    <cfRule type="cellIs" dxfId="63" priority="45" operator="equal">
      <formula>"I"</formula>
    </cfRule>
    <cfRule type="cellIs" dxfId="62" priority="50" operator="equal">
      <formula>"VE"</formula>
    </cfRule>
    <cfRule type="cellIs" dxfId="61" priority="49" operator="equal">
      <formula>"E"</formula>
    </cfRule>
    <cfRule type="cellIs" dxfId="60" priority="48" operator="equal">
      <formula>"M"</formula>
    </cfRule>
  </conditionalFormatting>
  <conditionalFormatting sqref="F16">
    <cfRule type="cellIs" dxfId="59" priority="36" operator="equal">
      <formula>"Y"</formula>
    </cfRule>
  </conditionalFormatting>
  <conditionalFormatting sqref="F17:F25">
    <cfRule type="cellIs" dxfId="58" priority="42" operator="equal">
      <formula>"VE"</formula>
    </cfRule>
    <cfRule type="cellIs" dxfId="57" priority="41" operator="equal">
      <formula>"E"</formula>
    </cfRule>
    <cfRule type="cellIs" dxfId="56" priority="37" operator="equal">
      <formula>"I"</formula>
    </cfRule>
    <cfRule type="cellIs" dxfId="55" priority="38" operator="equal">
      <formula>"VH"</formula>
    </cfRule>
    <cfRule type="cellIs" dxfId="54" priority="39" operator="equal">
      <formula>"H"</formula>
    </cfRule>
    <cfRule type="cellIs" dxfId="53" priority="40" operator="equal">
      <formula>"M"</formula>
    </cfRule>
  </conditionalFormatting>
  <conditionalFormatting sqref="F29">
    <cfRule type="cellIs" dxfId="52" priority="1" operator="equal">
      <formula>"Y"</formula>
    </cfRule>
  </conditionalFormatting>
  <conditionalFormatting sqref="F30:F38">
    <cfRule type="cellIs" dxfId="51" priority="2" operator="equal">
      <formula>"I"</formula>
    </cfRule>
    <cfRule type="cellIs" dxfId="50" priority="3" operator="equal">
      <formula>"VH"</formula>
    </cfRule>
    <cfRule type="cellIs" dxfId="49" priority="4" operator="equal">
      <formula>"H"</formula>
    </cfRule>
    <cfRule type="cellIs" dxfId="48" priority="5" operator="equal">
      <formula>"M"</formula>
    </cfRule>
    <cfRule type="cellIs" dxfId="47" priority="6" operator="equal">
      <formula>"E"</formula>
    </cfRule>
    <cfRule type="cellIs" dxfId="46" priority="7" operator="equal">
      <formula>"VE"</formula>
    </cfRule>
  </conditionalFormatting>
  <conditionalFormatting sqref="G3:G12">
    <cfRule type="cellIs" dxfId="45" priority="110" operator="equal">
      <formula>"Y"</formula>
    </cfRule>
  </conditionalFormatting>
  <conditionalFormatting sqref="G16:G25">
    <cfRule type="cellIs" dxfId="44" priority="102" operator="equal">
      <formula>"Y"</formula>
    </cfRule>
  </conditionalFormatting>
  <conditionalFormatting sqref="G29:G38">
    <cfRule type="cellIs" dxfId="43" priority="11" operator="equal">
      <formula>"Y"</formula>
    </cfRule>
  </conditionalFormatting>
  <conditionalFormatting sqref="H3:H12">
    <cfRule type="expression" dxfId="42" priority="109">
      <formula>G3="Y"</formula>
    </cfRule>
  </conditionalFormatting>
  <conditionalFormatting sqref="H16:H25">
    <cfRule type="expression" dxfId="41" priority="101">
      <formula>G16="Y"</formula>
    </cfRule>
  </conditionalFormatting>
  <conditionalFormatting sqref="H29:H38">
    <cfRule type="expression" dxfId="40" priority="10">
      <formula>G29="Y"</formula>
    </cfRule>
  </conditionalFormatting>
  <conditionalFormatting sqref="J15:K15">
    <cfRule type="expression" dxfId="39" priority="75">
      <formula>M15="Y"</formula>
    </cfRule>
  </conditionalFormatting>
  <conditionalFormatting sqref="J2:N2">
    <cfRule type="expression" dxfId="38" priority="79">
      <formula>S2="Y"</formula>
    </cfRule>
  </conditionalFormatting>
  <conditionalFormatting sqref="J15:N15">
    <cfRule type="expression" dxfId="37" priority="52">
      <formula>S15="Y"</formula>
    </cfRule>
  </conditionalFormatting>
  <conditionalFormatting sqref="L3:L12">
    <cfRule type="expression" dxfId="36" priority="80">
      <formula>T3="Y"</formula>
    </cfRule>
  </conditionalFormatting>
  <conditionalFormatting sqref="L16:L25">
    <cfRule type="expression" dxfId="35" priority="53">
      <formula>T16="Y"</formula>
    </cfRule>
  </conditionalFormatting>
  <conditionalFormatting sqref="L15:M15">
    <cfRule type="expression" dxfId="34" priority="77">
      <formula>#REF!="Y"</formula>
    </cfRule>
  </conditionalFormatting>
  <conditionalFormatting sqref="M3:M12">
    <cfRule type="expression" dxfId="33" priority="88">
      <formula>S3="Y"</formula>
    </cfRule>
    <cfRule type="expression" dxfId="32" priority="87">
      <formula>T3="Y"</formula>
    </cfRule>
  </conditionalFormatting>
  <conditionalFormatting sqref="M16:M25">
    <cfRule type="expression" dxfId="31" priority="61">
      <formula>S16="Y"</formula>
    </cfRule>
    <cfRule type="expression" dxfId="30" priority="60">
      <formula>T16="Y"</formula>
    </cfRule>
  </conditionalFormatting>
  <conditionalFormatting sqref="N2">
    <cfRule type="expression" dxfId="29" priority="128">
      <formula>O2="Y"</formula>
    </cfRule>
  </conditionalFormatting>
  <conditionalFormatting sqref="N3:N12">
    <cfRule type="cellIs" dxfId="28" priority="84" operator="equal">
      <formula>"M"</formula>
    </cfRule>
    <cfRule type="cellIs" dxfId="27" priority="86" operator="equal">
      <formula>"VE"</formula>
    </cfRule>
    <cfRule type="cellIs" dxfId="26" priority="83" operator="equal">
      <formula>"H"</formula>
    </cfRule>
    <cfRule type="cellIs" dxfId="25" priority="82" operator="equal">
      <formula>"VH"</formula>
    </cfRule>
    <cfRule type="cellIs" dxfId="24" priority="81" operator="equal">
      <formula>"I"</formula>
    </cfRule>
    <cfRule type="cellIs" dxfId="23" priority="85" operator="equal">
      <formula>"E"</formula>
    </cfRule>
  </conditionalFormatting>
  <conditionalFormatting sqref="N15">
    <cfRule type="expression" dxfId="22" priority="78">
      <formula>O15="Y"</formula>
    </cfRule>
  </conditionalFormatting>
  <conditionalFormatting sqref="N16:N25">
    <cfRule type="cellIs" dxfId="21" priority="54" operator="equal">
      <formula>"I"</formula>
    </cfRule>
    <cfRule type="cellIs" dxfId="20" priority="55" operator="equal">
      <formula>"VH"</formula>
    </cfRule>
    <cfRule type="cellIs" dxfId="19" priority="56" operator="equal">
      <formula>"H"</formula>
    </cfRule>
    <cfRule type="cellIs" dxfId="18" priority="57" operator="equal">
      <formula>"M"</formula>
    </cfRule>
    <cfRule type="cellIs" dxfId="17" priority="58" operator="equal">
      <formula>"E"</formula>
    </cfRule>
    <cfRule type="cellIs" dxfId="16" priority="59" operator="equal">
      <formula>"VE"</formula>
    </cfRule>
  </conditionalFormatting>
  <conditionalFormatting sqref="O2">
    <cfRule type="expression" dxfId="15" priority="35">
      <formula>S2="Y"</formula>
    </cfRule>
  </conditionalFormatting>
  <conditionalFormatting sqref="O3">
    <cfRule type="cellIs" dxfId="14" priority="28" operator="equal">
      <formula>"Y"</formula>
    </cfRule>
  </conditionalFormatting>
  <conditionalFormatting sqref="O4:O12">
    <cfRule type="cellIs" dxfId="13" priority="34" operator="equal">
      <formula>"VE"</formula>
    </cfRule>
    <cfRule type="cellIs" dxfId="12" priority="33" operator="equal">
      <formula>"E"</formula>
    </cfRule>
    <cfRule type="cellIs" dxfId="11" priority="32" operator="equal">
      <formula>"M"</formula>
    </cfRule>
    <cfRule type="cellIs" dxfId="10" priority="31" operator="equal">
      <formula>"H"</formula>
    </cfRule>
    <cfRule type="cellIs" dxfId="9" priority="30" operator="equal">
      <formula>"VH"</formula>
    </cfRule>
    <cfRule type="cellIs" dxfId="8" priority="29" operator="equal">
      <formula>"I"</formula>
    </cfRule>
  </conditionalFormatting>
  <conditionalFormatting sqref="O15">
    <cfRule type="expression" dxfId="7" priority="27">
      <formula>S15="Y"</formula>
    </cfRule>
  </conditionalFormatting>
  <conditionalFormatting sqref="O16">
    <cfRule type="cellIs" dxfId="6" priority="20" operator="equal">
      <formula>"Y"</formula>
    </cfRule>
  </conditionalFormatting>
  <conditionalFormatting sqref="O17:O25">
    <cfRule type="cellIs" dxfId="5" priority="26" operator="equal">
      <formula>"VE"</formula>
    </cfRule>
    <cfRule type="cellIs" dxfId="4" priority="25" operator="equal">
      <formula>"E"</formula>
    </cfRule>
    <cfRule type="cellIs" dxfId="3" priority="23" operator="equal">
      <formula>"H"</formula>
    </cfRule>
    <cfRule type="cellIs" dxfId="2" priority="22" operator="equal">
      <formula>"VH"</formula>
    </cfRule>
    <cfRule type="cellIs" dxfId="1" priority="21" operator="equal">
      <formula>"I"</formula>
    </cfRule>
    <cfRule type="cellIs" dxfId="0" priority="24" operator="equal">
      <formula>"M"</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List</vt:lpstr>
      <vt:lpstr>Formable Countries</vt:lpstr>
      <vt:lpstr>Runs</vt:lpstr>
      <vt:lpstr>Run - Russia</vt:lpstr>
      <vt:lpstr>run - custom</vt:lpstr>
      <vt:lpstr>Calc</vt:lpstr>
      <vt:lpstr>Top 10 Hard</vt:lpstr>
      <vt:lpstr>Top 10 Freebies</vt:lpstr>
    </vt:vector>
  </TitlesOfParts>
  <Company>Bureau Veritas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KLEIN</dc:creator>
  <cp:lastModifiedBy>THOMAS KLEIN</cp:lastModifiedBy>
  <dcterms:created xsi:type="dcterms:W3CDTF">2025-03-17T02:24:48Z</dcterms:created>
  <dcterms:modified xsi:type="dcterms:W3CDTF">2026-10-12T06:17:13Z</dcterms:modified>
</cp:coreProperties>
</file>