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klein2\Documents\Personal\eu4_achievements\"/>
    </mc:Choice>
  </mc:AlternateContent>
  <xr:revisionPtr revIDLastSave="0" documentId="13_ncr:1_{AAC1C4A0-2E3E-4DC0-9BA0-0E33594ACD15}" xr6:coauthVersionLast="47" xr6:coauthVersionMax="47" xr10:uidLastSave="{00000000-0000-0000-0000-000000000000}"/>
  <bookViews>
    <workbookView xWindow="-120" yWindow="-120" windowWidth="29040" windowHeight="15720" tabRatio="783" activeTab="2"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35" i="2"/>
  <c r="M226" i="2"/>
  <c r="M222" i="2"/>
  <c r="M207" i="2"/>
  <c r="M217" i="2"/>
  <c r="M210" i="2"/>
  <c r="M205" i="2"/>
  <c r="M187" i="2"/>
  <c r="M191" i="2"/>
  <c r="M194" i="2"/>
  <c r="M184" i="2"/>
  <c r="M178" i="2"/>
  <c r="M171" i="2"/>
  <c r="M163" i="2"/>
  <c r="M173" i="2"/>
  <c r="M170" i="2"/>
  <c r="M175"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100" i="2"/>
  <c r="M107" i="2"/>
  <c r="M66" i="2"/>
  <c r="M67" i="2"/>
  <c r="M81" i="2"/>
  <c r="M68" i="2"/>
  <c r="M69" i="2"/>
  <c r="M83" i="2"/>
  <c r="M71" i="2"/>
  <c r="M77" i="2"/>
  <c r="M84" i="2"/>
  <c r="M78" i="2"/>
  <c r="M72" i="2"/>
  <c r="M73" i="2"/>
  <c r="M74" i="2"/>
  <c r="M75" i="2"/>
  <c r="M48" i="2"/>
  <c r="M47" i="2"/>
  <c r="M49" i="2"/>
  <c r="M58" i="2"/>
  <c r="M50" i="2"/>
  <c r="M51" i="2"/>
  <c r="M52" i="2"/>
  <c r="M53" i="2"/>
  <c r="M54" i="2"/>
  <c r="M63" i="2"/>
  <c r="M64" i="2"/>
  <c r="M56" i="2"/>
  <c r="M38" i="2"/>
  <c r="M40" i="2"/>
  <c r="M39" i="2"/>
  <c r="M41" i="2"/>
  <c r="M46" i="2"/>
  <c r="M31" i="2"/>
  <c r="M33" i="2"/>
  <c r="M26" i="2"/>
  <c r="M27" i="2"/>
  <c r="M36" i="2"/>
  <c r="M37" i="2"/>
  <c r="M30" i="2"/>
  <c r="M6" i="2"/>
  <c r="M9" i="2"/>
  <c r="M10" i="2"/>
  <c r="M13" i="2"/>
  <c r="M11" i="2"/>
  <c r="M12" i="2"/>
  <c r="M4" i="2"/>
  <c r="J280" i="2"/>
  <c r="J272" i="2"/>
  <c r="J268" i="2"/>
  <c r="J264" i="2"/>
  <c r="J267" i="2"/>
  <c r="J265" i="2"/>
  <c r="J261" i="2"/>
  <c r="J255" i="2"/>
  <c r="J246" i="2"/>
  <c r="J241" i="2"/>
  <c r="J237" i="2"/>
  <c r="J235" i="2"/>
  <c r="J226" i="2"/>
  <c r="J222" i="2"/>
  <c r="J207" i="2"/>
  <c r="J217" i="2"/>
  <c r="J210" i="2"/>
  <c r="J205" i="2"/>
  <c r="J187" i="2"/>
  <c r="J191" i="2"/>
  <c r="J194" i="2"/>
  <c r="J184" i="2"/>
  <c r="J178" i="2"/>
  <c r="J171" i="2"/>
  <c r="J163" i="2"/>
  <c r="J173" i="2"/>
  <c r="J170" i="2"/>
  <c r="J175"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100" i="2"/>
  <c r="J107" i="2"/>
  <c r="J66" i="2"/>
  <c r="J67" i="2"/>
  <c r="J81" i="2"/>
  <c r="J68" i="2"/>
  <c r="J69" i="2"/>
  <c r="J83" i="2"/>
  <c r="J71" i="2"/>
  <c r="J77" i="2"/>
  <c r="J84" i="2"/>
  <c r="J78" i="2"/>
  <c r="J72" i="2"/>
  <c r="J73" i="2"/>
  <c r="J74" i="2"/>
  <c r="J75" i="2"/>
  <c r="J48" i="2"/>
  <c r="J47" i="2"/>
  <c r="J49" i="2"/>
  <c r="J58" i="2"/>
  <c r="J50" i="2"/>
  <c r="J51" i="2"/>
  <c r="J52" i="2"/>
  <c r="J53" i="2"/>
  <c r="J54" i="2"/>
  <c r="J63" i="2"/>
  <c r="J64" i="2"/>
  <c r="J56" i="2"/>
  <c r="J38" i="2"/>
  <c r="J40" i="2"/>
  <c r="J39" i="2"/>
  <c r="J41" i="2"/>
  <c r="J46" i="2"/>
  <c r="J31" i="2"/>
  <c r="J33" i="2"/>
  <c r="J26" i="2"/>
  <c r="J27" i="2"/>
  <c r="J36"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K107" i="2" s="1"/>
  <c r="I308" i="2"/>
  <c r="I250" i="2"/>
  <c r="J250" i="2" s="1"/>
  <c r="I322" i="2"/>
  <c r="J322" i="2" s="1"/>
  <c r="I258" i="2"/>
  <c r="I248" i="2"/>
  <c r="I346" i="2"/>
  <c r="J346" i="2" s="1"/>
  <c r="I154" i="2"/>
  <c r="K154" i="2" s="1"/>
  <c r="W154" i="2" s="1"/>
  <c r="I313" i="2"/>
  <c r="I266" i="2"/>
  <c r="J266" i="2" s="1"/>
  <c r="I159" i="2"/>
  <c r="I226" i="2"/>
  <c r="K226" i="2" s="1"/>
  <c r="W226" i="2" s="1"/>
  <c r="I108" i="2"/>
  <c r="J108" i="2" s="1"/>
  <c r="I15" i="2"/>
  <c r="I134" i="2"/>
  <c r="I79" i="2"/>
  <c r="I135" i="2"/>
  <c r="K135" i="2" s="1"/>
  <c r="U135" i="2" s="1"/>
  <c r="I91" i="2"/>
  <c r="K91" i="2" s="1"/>
  <c r="W91" i="2" s="1"/>
  <c r="I120" i="2"/>
  <c r="I100" i="2"/>
  <c r="K100" i="2" s="1"/>
  <c r="V100" i="2" s="1"/>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K31" i="2" s="1"/>
  <c r="V31" i="2" s="1"/>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K217" i="2" s="1"/>
  <c r="X217" i="2" s="1"/>
  <c r="I2" i="2"/>
  <c r="J2" i="2" s="1"/>
  <c r="I126" i="2"/>
  <c r="I243" i="2"/>
  <c r="J243" i="2" s="1"/>
  <c r="I234" i="2"/>
  <c r="J234" i="2" s="1"/>
  <c r="I169" i="2"/>
  <c r="I292" i="2"/>
  <c r="I14" i="2"/>
  <c r="J14" i="2" s="1"/>
  <c r="I17" i="2"/>
  <c r="J17" i="2" s="1"/>
  <c r="I58" i="2"/>
  <c r="K58" i="2" s="1"/>
  <c r="V58" i="2" s="1"/>
  <c r="I32" i="2"/>
  <c r="J32" i="2" s="1"/>
  <c r="I11" i="2"/>
  <c r="I56" i="2"/>
  <c r="I34" i="2"/>
  <c r="J34" i="2" s="1"/>
  <c r="I49" i="2"/>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K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G68" i="2"/>
  <c r="I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G33" i="2"/>
  <c r="I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K79" i="2" l="1"/>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N107" i="2" s="1"/>
  <c r="L266" i="2"/>
  <c r="M266" i="2" s="1"/>
  <c r="K131" i="2"/>
  <c r="J131" i="2"/>
  <c r="L154" i="2"/>
  <c r="N154" i="2" s="1"/>
  <c r="L313" i="2"/>
  <c r="L100" i="2"/>
  <c r="N100" i="2" s="1"/>
  <c r="L97" i="2"/>
  <c r="K181" i="2"/>
  <c r="W181" i="2" s="1"/>
  <c r="J181" i="2"/>
  <c r="L322" i="2"/>
  <c r="M322" i="2" s="1"/>
  <c r="L308" i="2"/>
  <c r="L248" i="2"/>
  <c r="L226" i="2"/>
  <c r="N226" i="2" s="1"/>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N58" i="2" s="1"/>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N217" i="2" s="1"/>
  <c r="L241" i="2"/>
  <c r="N241" i="2" s="1"/>
  <c r="L9" i="2"/>
  <c r="N9" i="2" s="1"/>
  <c r="L214" i="2"/>
  <c r="L43" i="2"/>
  <c r="M43" i="2" s="1"/>
  <c r="L90" i="2"/>
  <c r="N90" i="2" s="1"/>
  <c r="L269" i="2"/>
  <c r="L292" i="2"/>
  <c r="L152" i="2"/>
  <c r="L82" i="2"/>
  <c r="L364" i="2"/>
  <c r="M364" i="2" s="1"/>
  <c r="L7" i="2"/>
  <c r="L247" i="2"/>
  <c r="L102" i="2"/>
  <c r="L31" i="2"/>
  <c r="N31" i="2" s="1"/>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N49" i="2" s="1"/>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N68" i="2" s="1"/>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N77" i="2" s="1"/>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N50" i="2" s="1"/>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N52" i="2" s="1"/>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N175" i="2" s="1"/>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N54" i="2" s="1"/>
  <c r="K54" i="2"/>
  <c r="W54" i="2" s="1"/>
  <c r="L323" i="2"/>
  <c r="K323" i="2"/>
  <c r="U323" i="2" s="1"/>
  <c r="L251" i="2"/>
  <c r="K251" i="2"/>
  <c r="U251" i="2" s="1"/>
  <c r="L193" i="2"/>
  <c r="K193" i="2"/>
  <c r="V193" i="2" s="1"/>
  <c r="L160" i="2"/>
  <c r="N160" i="2" s="1"/>
  <c r="K160" i="2"/>
  <c r="V160" i="2" s="1"/>
  <c r="L62" i="2"/>
  <c r="K62" i="2"/>
  <c r="V62" i="2" s="1"/>
  <c r="L253" i="2"/>
  <c r="K253" i="2"/>
  <c r="V253" i="2" s="1"/>
  <c r="L83" i="2"/>
  <c r="N83" i="2" s="1"/>
  <c r="L26" i="2"/>
  <c r="N26" i="2" s="1"/>
  <c r="K26" i="2"/>
  <c r="W26" i="2" s="1"/>
  <c r="L215" i="2"/>
  <c r="K215" i="2"/>
  <c r="V215" i="2" s="1"/>
  <c r="L252" i="2"/>
  <c r="K252" i="2"/>
  <c r="U252" i="2" s="1"/>
  <c r="L220" i="2"/>
  <c r="K220" i="2"/>
  <c r="W220" i="2" s="1"/>
  <c r="L235" i="2"/>
  <c r="N235" i="2" s="1"/>
  <c r="K235" i="2"/>
  <c r="V235" i="2" s="1"/>
  <c r="L33" i="2"/>
  <c r="N33" i="2" s="1"/>
  <c r="K33" i="2"/>
  <c r="V33" i="2" s="1"/>
  <c r="L245" i="2"/>
  <c r="M245" i="2" s="1"/>
  <c r="L127" i="2"/>
  <c r="N127" i="2" s="1"/>
  <c r="K127" i="2"/>
  <c r="V127" i="2" s="1"/>
  <c r="L36" i="2"/>
  <c r="N36" i="2" s="1"/>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79" i="2" l="1"/>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<sst xmlns="http://schemas.openxmlformats.org/spreadsheetml/2006/main" count="3847" uniqueCount="2055">
  <si>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</si>
  <si>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</si>
  <si>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</si>
  <si>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</si>
  <si>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</si>
  <si>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</si>
  <si>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</si>
  <si>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</si>
  <si>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</si>
  <si>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</si>
  <si>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</si>
  <si>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</si>
  <si>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</si>
  <si>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</si>
  <si>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</si>
  <si>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</si>
  <si>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</si>
  <si>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</si>
  <si>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</si>
  <si>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</si>
  <si>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</si>
  <si>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</si>
  <si>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</si>
  <si>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</si>
  <si>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</si>
  <si>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</si>
  <si>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</si>
  <si>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</si>
  <si>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</si>
  <si>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</si>
  <si>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</si>
  <si>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</si>
  <si>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</si>
  <si>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</si>
  <si>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</si>
  <si>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</si>
  <si>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</si>
  <si>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</si>
  <si>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</si>
  <si>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</si>
  <si>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</si>
  <si>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</si>
  <si>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</si>
  <si>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</si>
  <si>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</si>
  <si>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</si>
  <si>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</si>
  <si>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</si>
  <si>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</si>
  <si>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</si>
  <si>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</si>
  <si>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</si>
  <si>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</si>
  <si>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</si>
  <si>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</si>
  <si>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</si>
  <si>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</si>
  <si>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</si>
  <si>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</si>
  <si>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</si>
  <si>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</si>
  <si>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</si>
  <si>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</si>
  <si>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</si>
  <si>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</si>
  <si>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</si>
  <si>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</si>
  <si>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</si>
  <si>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</si>
  <si>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</si>
  <si>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</si>
  <si>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</si>
  <si>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</si>
  <si>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</si>
  <si>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</si>
  <si>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</si>
  <si>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</si>
  <si>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</si>
  <si>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</si>
  <si>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</si>
  <si>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</si>
  <si>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</si>
  <si>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</si>
  <si>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</si>
  <si>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</si>
  <si>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</si>
  <si>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</si>
  <si>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</si>
  <si>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</si>
  <si>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</si>
  <si>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</si>
  <si>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</si>
  <si>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</si>
  <si>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</si>
  <si>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</si>
  <si>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</si>
  <si>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</si>
  <si>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</si>
  <si>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</si>
  <si>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</si>
  <si>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</si>
  <si>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</si>
  <si>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</si>
  <si>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</si>
  <si>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</si>
  <si>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</si>
  <si>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</si>
  <si>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</si>
  <si>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</si>
  <si>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</si>
  <si>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</si>
  <si>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</si>
  <si>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</si>
  <si>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</si>
  <si>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</si>
  <si>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</si>
  <si>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</si>
  <si>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</si>
  <si>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</si>
  <si>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</si>
  <si>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</si>
  <si>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</si>
  <si>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</si>
  <si>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</si>
  <si>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</si>
  <si>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</si>
  <si>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</si>
  <si>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</si>
  <si>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</si>
  <si>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</si>
  <si>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</si>
  <si>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</si>
  <si>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</si>
  <si>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</si>
  <si>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</si>
  <si>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</si>
  <si>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</si>
  <si>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</si>
  <si>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</si>
  <si>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</si>
  <si>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</si>
  <si>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</si>
  <si>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</si>
  <si>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</si>
  <si>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</si>
  <si>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</si>
  <si>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</si>
  <si>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</si>
  <si>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</si>
  <si>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</si>
  <si>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</si>
  <si>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</si>
  <si>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</si>
  <si>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</si>
  <si>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</si>
  <si>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</si>
  <si>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</si>
  <si>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</si>
  <si>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</si>
  <si>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</si>
  <si>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</si>
  <si>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</si>
  <si>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</si>
  <si>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</si>
  <si>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</si>
  <si>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</si>
  <si>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</si>
  <si>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</si>
  <si>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</si>
  <si>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</si>
  <si>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</si>
  <si>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</si>
  <si>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</si>
  <si>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</si>
  <si>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</si>
  <si>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</si>
  <si>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</si>
  <si>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</si>
  <si>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</si>
  <si>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</si>
  <si>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</si>
  <si>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</si>
  <si>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</si>
  <si>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</si>
  <si>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</si>
  <si>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</si>
  <si>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</si>
  <si>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</si>
  <si>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</si>
  <si>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</si>
  <si>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</si>
  <si>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</si>
  <si>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</si>
  <si>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</si>
  <si>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</si>
  <si>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</si>
  <si>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</si>
  <si>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</si>
  <si>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</si>
  <si>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</si>
  <si>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</si>
  <si>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</si>
  <si>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</si>
  <si>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</si>
  <si>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</si>
  <si>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</si>
  <si>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</si>
  <si>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</si>
  <si>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</si>
  <si>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</si>
  <si>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</si>
  <si>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</si>
  <si>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</si>
  <si>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</si>
  <si>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</si>
  <si>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</si>
  <si>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</si>
  <si>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</si>
  <si>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</si>
  <si>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</si>
  <si>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</si>
  <si>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</si>
  <si>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</si>
  <si>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</si>
  <si>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</si>
  <si>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</si>
  <si>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</si>
  <si>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</si>
  <si>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</si>
  <si>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</si>
  <si>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</si>
  <si>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</si>
  <si>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</si>
  <si>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</si>
  <si>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</si>
  <si>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</si>
  <si>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</si>
  <si>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</si>
  <si>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</si>
  <si>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</si>
  <si>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</si>
  <si>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</si>
  <si>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</si>
  <si>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</si>
  <si>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</si>
  <si>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</si>
  <si>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</si>
  <si>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</si>
  <si>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</si>
  <si>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</si>
  <si>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</si>
  <si>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</si>
  <si>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</si>
  <si>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</si>
  <si>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</si>
  <si>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</si>
  <si>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</si>
  <si>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</si>
  <si>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</si>
  <si>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</si>
  <si>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</si>
  <si>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</si>
  <si>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</si>
  <si>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</si>
  <si>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</si>
  <si>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</si>
  <si>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</si>
  <si>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</si>
  <si>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</si>
  <si>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</si>
  <si>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</si>
  <si>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</si>
  <si>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</si>
  <si>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</si>
  <si>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</si>
  <si>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</si>
  <si>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</si>
  <si>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</si>
  <si>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</si>
  <si>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</si>
  <si>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</si>
  <si>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</si>
  <si>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</si>
  <si>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</si>
  <si>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</si>
  <si>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</si>
  <si>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</si>
  <si>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</si>
  <si>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</si>
  <si>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</si>
  <si>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</si>
  <si>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</si>
  <si>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</si>
  <si>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</si>
  <si>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</si>
  <si>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</si>
  <si>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</si>
  <si>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</si>
  <si>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</si>
  <si>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</si>
  <si>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</si>
  <si>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</si>
  <si>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</si>
  <si>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</si>
  <si>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</si>
  <si>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</si>
  <si>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</si>
  <si>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</si>
  <si>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</si>
  <si>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</si>
  <si>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</si>
  <si>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</si>
  <si>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</si>
  <si>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</si>
  <si>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</si>
  <si>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</si>
  <si>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</si>
  <si>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</si>
  <si>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</si>
  <si>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</si>
  <si>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</si>
  <si>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</si>
  <si>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</si>
  <si>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</si>
  <si>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</si>
  <si>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</si>
  <si>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</si>
  <si>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</si>
  <si>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</si>
  <si>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</si>
  <si>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</si>
  <si>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</si>
  <si>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</si>
  <si>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</si>
  <si>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</si>
  <si>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</si>
  <si>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</si>
  <si>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</si>
  <si>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</si>
  <si>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</si>
  <si>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</si>
  <si>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</si>
  <si>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</si>
  <si>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</si>
  <si>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</si>
  <si>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</si>
  <si>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</si>
  <si>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</si>
  <si>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</si>
  <si>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</si>
  <si>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</si>
  <si>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</si>
  <si>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</si>
  <si>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</si>
  <si>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</si>
  <si>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</si>
  <si>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</si>
  <si>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</si>
  <si>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</si>
  <si>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</si>
  <si>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</si>
  <si>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</si>
  <si>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</si>
  <si>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</si>
  <si>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</si>
  <si>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</si>
  <si>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</si>
  <si>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</si>
  <si>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</si>
  <si>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</si>
  <si>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</si>
  <si>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</si>
  <si>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</si>
  <si>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</si>
  <si>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</si>
  <si>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</si>
  <si>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</si>
  <si>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</si>
  <si>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</si>
  <si>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</si>
  <si>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</si>
  <si>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</si>
  <si>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</si>
  <si>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</si>
  <si>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</si>
  <si>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</si>
  <si>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</si>
  <si>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</si>
  <si>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</si>
  <si>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</si>
  <si>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</si>
  <si>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</si>
  <si>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</si>
  <si>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</si>
  <si>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</si>
  <si>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</si>
  <si>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</si>
  <si>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</si>
  <si>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</si>
  <si>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</si>
  <si>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</si>
  <si>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</si>
  <si>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</si>
  <si>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</si>
  <si>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</si>
  <si>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</si>
  <si>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</si>
  <si>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</si>
  <si>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</si>
  <si>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</si>
  <si>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</si>
  <si>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</si>
  <si>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</si>
  <si>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</si>
  <si>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</si>
  <si>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</si>
  <si>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</si>
  <si>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</si>
  <si>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</si>
  <si>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</si>
  <si>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</si>
  <si>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</si>
  <si>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</si>
  <si>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</si>
  <si>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</si>
  <si>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</si>
  <si>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</si>
  <si>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</si>
  <si>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</si>
  <si>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</si>
  <si>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</si>
  <si>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</si>
  <si>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</si>
  <si>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</si>
  <si>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</si>
  <si>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</si>
  <si>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</si>
  <si>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</si>
  <si>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</si>
  <si>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</si>
  <si>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</si>
  <si>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</si>
  <si>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</si>
  <si>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</si>
  <si>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</si>
  <si>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</si>
  <si>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</si>
  <si>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</si>
  <si>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</si>
  <si>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</si>
  <si>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</si>
  <si>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</si>
  <si>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</si>
  <si>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</si>
  <si>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</si>
  <si>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</si>
  <si>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</si>
  <si>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</si>
  <si>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</si>
  <si>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</si>
  <si>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</si>
  <si>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</si>
  <si>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</si>
  <si>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</si>
  <si>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</si>
  <si>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</si>
  <si>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</si>
  <si>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</si>
  <si>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</si>
  <si>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</si>
  <si>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</si>
  <si>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</si>
  <si>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</si>
  <si>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</si>
  <si>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</si>
  <si>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</si>
  <si>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</si>
  <si>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</si>
  <si>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</si>
  <si>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</si>
  <si>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</si>
  <si>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</si>
  <si>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</si>
  <si>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</si>
  <si>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</si>
  <si>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</si>
  <si>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</si>
  <si>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</si>
  <si>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</si>
  <si>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</si>
  <si>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</si>
  <si>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</si>
  <si>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</si>
  <si>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</si>
  <si>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</si>
  <si>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</si>
  <si>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</si>
  <si>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</si>
  <si>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</si>
  <si>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</si>
  <si>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</si>
  <si>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</si>
  <si>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</si>
  <si>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</si>
  <si>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</si>
  <si>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</si>
  <si>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</si>
  <si>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</si>
  <si>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</si>
  <si>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</si>
  <si>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</si>
  <si>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</si>
  <si>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</si>
  <si>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</si>
  <si>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</si>
  <si>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</si>
  <si>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</si>
  <si>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</si>
  <si>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</si>
  <si>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</si>
  <si>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</si>
  <si>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</si>
  <si>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</si>
  <si>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</si>
  <si>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</si>
  <si>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</si>
  <si>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</si>
  <si>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</si>
  <si>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</si>
  <si>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</si>
  <si>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</si>
  <si>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</si>
  <si>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</si>
  <si>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</si>
  <si>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</si>
  <si>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</si>
  <si>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</si>
  <si>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</si>
  <si>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</si>
  <si>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</si>
  <si>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</si>
  <si>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</si>
  <si>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</si>
  <si>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</si>
  <si>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</si>
  <si>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</si>
  <si>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</si>
  <si>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</si>
  <si>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</si>
  <si>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</si>
  <si>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</si>
  <si>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</si>
  <si>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</si>
  <si>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</si>
  <si>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</si>
  <si>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</si>
  <si>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</si>
  <si>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</si>
  <si>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</si>
  <si>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</si>
  <si>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</si>
  <si>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</si>
  <si>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</si>
  <si>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</si>
  <si>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</si>
  <si>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</si>
  <si>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</si>
  <si>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</si>
  <si>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</si>
  <si>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</si>
  <si>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</si>
  <si>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</si>
  <si>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</si>
  <si>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</si>
  <si>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</si>
  <si>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</si>
  <si>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</si>
  <si>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</si>
  <si>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</si>
  <si>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</si>
  <si>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</si>
  <si>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</si>
  <si>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</si>
  <si>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</si>
  <si>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</si>
  <si>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</si>
  <si>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</si>
  <si>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</si>
  <si>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</si>
  <si>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</si>
  <si>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</si>
  <si>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</si>
  <si>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</si>
  <si>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</si>
  <si>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</si>
  <si>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</si>
  <si>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</si>
  <si>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</si>
  <si>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</si>
  <si>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</si>
  <si>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</si>
  <si>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</si>
  <si>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</si>
  <si>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</si>
  <si>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</si>
  <si>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</si>
  <si>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</si>
  <si>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</si>
  <si>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</si>
  <si>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</si>
  <si>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</si>
  <si>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</si>
  <si>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</si>
  <si>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</si>
  <si>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</si>
  <si>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</si>
  <si>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</si>
  <si>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</si>
  <si>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</si>
  <si>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</si>
  <si>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</si>
  <si>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</si>
  <si>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</si>
  <si>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</si>
  <si>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</si>
  <si>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</si>
  <si>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</si>
  <si>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</si>
  <si>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</si>
  <si>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</si>
  <si>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</si>
  <si>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</si>
  <si>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</si>
  <si>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</si>
  <si>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</si>
  <si>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</si>
  <si>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</si>
  <si>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</si>
  <si>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</si>
  <si>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</si>
  <si>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</si>
  <si>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</si>
  <si>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</si>
  <si>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</si>
  <si>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</si>
  <si>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</si>
  <si>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</si>
  <si>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</si>
  <si>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</si>
  <si>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</si>
  <si>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</si>
  <si>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</si>
  <si>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</si>
  <si>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</si>
  <si>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</si>
  <si>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</si>
  <si>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</si>
  <si>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</si>
  <si>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</si>
  <si>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</si>
  <si>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</si>
  <si>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</si>
  <si>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</si>
  <si>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</si>
  <si>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</si>
  <si>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</si>
  <si>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</si>
  <si>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</si>
  <si>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</si>
  <si>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</si>
  <si>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</si>
  <si>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</si>
  <si>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</si>
  <si>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</si>
  <si>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</si>
  <si>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</si>
  <si>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</si>
  <si>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</si>
  <si>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</si>
  <si>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</si>
  <si>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</si>
  <si>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</si>
  <si>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</si>
  <si>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</si>
  <si>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</si>
  <si>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</si>
  <si>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</si>
  <si>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</si>
  <si>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</si>
  <si>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</si>
  <si>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</si>
  <si>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</si>
  <si>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</si>
  <si>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</si>
  <si>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</si>
  <si>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</si>
  <si>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</si>
  <si>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</si>
  <si>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</si>
  <si>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</si>
  <si>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</si>
  <si>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</si>
  <si>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</si>
  <si>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</si>
  <si>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</si>
  <si>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</si>
  <si>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</si>
  <si>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</si>
  <si>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</si>
  <si>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</si>
  <si>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</si>
  <si>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</si>
  <si>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</si>
  <si>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</si>
  <si>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</si>
  <si>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</si>
  <si>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</si>
  <si>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</si>
  <si>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</si>
  <si>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</si>
  <si>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</si>
  <si>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</si>
  <si>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</si>
  <si>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</si>
  <si>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</si>
  <si>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</si>
  <si>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</si>
  <si>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</si>
  <si>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</si>
  <si>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</si>
  <si>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</si>
  <si>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</si>
  <si>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</si>
  <si>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</si>
  <si>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</si>
  <si>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</si>
  <si>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</si>
  <si>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</si>
  <si>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</si>
  <si>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</si>
  <si>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</si>
  <si>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</si>
  <si>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</si>
  <si>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</si>
  <si>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</si>
  <si>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</si>
  <si>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</si>
  <si>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</si>
  <si>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</si>
  <si>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</si>
  <si>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</si>
  <si>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</si>
  <si>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</si>
  <si>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</si>
  <si>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</si>
  <si>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</si>
  <si>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</si>
  <si>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</si>
  <si>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</si>
  <si>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</si>
  <si>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</si>
  <si>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</si>
  <si>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</si>
  <si>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</si>
  <si>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</si>
  <si>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</si>
  <si>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</si>
  <si>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</si>
  <si>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</si>
  <si>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</si>
  <si>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</si>
  <si>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</si>
  <si>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</si>
  <si>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</si>
  <si>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</si>
  <si>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</si>
  <si>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</si>
  <si>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</si>
  <si>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</si>
  <si>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</si>
  <si>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</si>
  <si>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</si>
  <si>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</si>
  <si>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</si>
  <si>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</si>
  <si>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</si>
  <si>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</si>
  <si>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</si>
  <si>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</si>
  <si>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</si>
  <si>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</si>
  <si>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</si>
  <si>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</si>
  <si>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</si>
  <si>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</si>
  <si>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</si>
  <si>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</si>
  <si>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</si>
  <si>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</si>
  <si>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</si>
  <si>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</si>
  <si>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</si>
  <si>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</si>
  <si>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</si>
  <si>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</si>
  <si>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</si>
  <si>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</si>
  <si>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</si>
  <si>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</si>
  <si>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</si>
  <si>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</si>
  <si>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</si>
  <si>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</si>
  <si>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</si>
  <si>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</si>
  <si>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</si>
  <si>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</si>
  <si>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</si>
  <si>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</si>
  <si>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</si>
  <si>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</si>
  <si>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</si>
  <si>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</si>
  <si>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</si>
  <si>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</si>
  <si>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</si>
  <si>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</si>
  <si>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</si>
  <si>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</si>
  <si>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</si>
  <si>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</si>
  <si>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</si>
  <si>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</si>
  <si>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</si>
  <si>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</si>
  <si>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</si>
  <si>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</si>
  <si>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</si>
  <si>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</si>
  <si>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</si>
  <si>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</si>
  <si>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</si>
  <si>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</si>
  <si>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</si>
  <si>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</si>
  <si>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</si>
  <si>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</si>
  <si>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</si>
  <si>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</si>
  <si>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</si>
  <si>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</si>
  <si>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</si>
  <si>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</si>
  <si>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</si>
  <si>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</si>
  <si>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</si>
  <si>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</si>
  <si>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</si>
  <si>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</si>
  <si>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</si>
  <si>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</si>
  <si>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</si>
  <si>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</si>
  <si>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</si>
  <si>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</si>
  <si>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</si>
  <si>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</si>
  <si>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</si>
  <si>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</si>
  <si>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</si>
  <si>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</si>
  <si>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</si>
  <si>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</si>
  <si>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</si>
  <si>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</si>
  <si>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</si>
  <si>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</si>
  <si>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</si>
  <si>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</si>
  <si>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</si>
  <si>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</si>
  <si>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</si>
  <si>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</si>
  <si>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</si>
  <si>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</si>
  <si>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</si>
  <si>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</si>
  <si>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</si>
  <si>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</si>
  <si>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</si>
  <si>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</si>
  <si>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</si>
  <si>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</si>
  <si>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</si>
  <si>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</si>
  <si>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</si>
  <si>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</si>
  <si>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</si>
  <si>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</si>
  <si>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</si>
  <si>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</si>
  <si>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</si>
  <si>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</si>
  <si>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</si>
  <si>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</si>
  <si>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</si>
  <si>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</si>
  <si>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</si>
  <si>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</si>
  <si>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</si>
  <si>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</si>
  <si>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</si>
  <si>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</si>
  <si>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</si>
  <si>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</si>
  <si>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</si>
  <si>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</si>
  <si>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</si>
  <si>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</si>
  <si>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</si>
  <si>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</si>
  <si>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</si>
  <si>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</si>
  <si>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</si>
  <si>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</si>
  <si>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</si>
  <si>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</si>
  <si>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</si>
  <si>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</si>
  <si>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</si>
  <si>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</si>
  <si>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</si>
  <si>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</si>
  <si>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</si>
  <si>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</si>
  <si>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</si>
  <si>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</si>
  <si>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</si>
  <si>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</si>
  <si>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</si>
  <si>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</si>
  <si>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</si>
  <si>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</si>
  <si>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</si>
  <si>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</si>
  <si>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</si>
  <si>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</si>
  <si>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</si>
  <si>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</si>
  <si>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</si>
  <si>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</si>
  <si>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</si>
  <si>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</si>
  <si>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</si>
  <si>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</si>
  <si>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</si>
  <si>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</si>
  <si>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</si>
  <si>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</si>
  <si>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</si>
  <si>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</si>
  <si>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</si>
  <si>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</si>
  <si>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</si>
  <si>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</si>
  <si>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</si>
  <si>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</si>
  <si>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</si>
  <si>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</si>
  <si>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</si>
  <si>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</si>
  <si>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</si>
  <si>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</si>
  <si>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</si>
  <si>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</si>
  <si>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</si>
  <si>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</si>
  <si>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</si>
  <si>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</si>
  <si>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</si>
  <si>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</si>
  <si>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</si>
  <si>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</si>
  <si>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</si>
  <si>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</si>
  <si>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</si>
  <si>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</si>
  <si>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</si>
  <si>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</si>
  <si>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</si>
  <si>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</si>
  <si>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</si>
  <si>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</si>
  <si>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</si>
  <si>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</si>
  <si>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</si>
  <si>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</si>
  <si>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</si>
  <si>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</si>
  <si>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</si>
  <si>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</si>
  <si>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</si>
  <si>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</si>
  <si>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</si>
  <si>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</si>
  <si>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</si>
  <si>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</si>
  <si>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</si>
  <si>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</si>
  <si>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</si>
  <si>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</si>
  <si>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</si>
  <si>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</si>
  <si>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</si>
  <si>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</si>
  <si>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</si>
  <si>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</si>
  <si>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</si>
  <si>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</si>
  <si>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</si>
  <si>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</si>
  <si>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</si>
  <si>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</si>
  <si>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</si>
  <si>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</si>
  <si>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</si>
  <si>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</si>
  <si>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</si>
  <si>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</si>
  <si>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</si>
  <si>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</si>
  <si>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</si>
  <si>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</si>
  <si>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</si>
  <si>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</si>
  <si>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</si>
  <si>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</si>
  <si>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</si>
  <si>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</si>
  <si>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</si>
  <si>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</si>
  <si>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</si>
  <si>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</si>
  <si>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</si>
  <si>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</si>
  <si>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</si>
  <si>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</si>
  <si>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</si>
  <si>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</si>
  <si>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</si>
  <si>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</si>
  <si>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</si>
  <si>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</si>
  <si>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</si>
  <si>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</si>
  <si>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</si>
  <si>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</si>
  <si>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</si>
  <si>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</si>
  <si>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</si>
  <si>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</si>
  <si>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</si>
  <si>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</si>
  <si>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</si>
  <si>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</si>
  <si>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</si>
  <si>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</si>
  <si>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</si>
  <si>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</si>
  <si>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</si>
  <si>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</si>
  <si>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</si>
  <si>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</si>
  <si>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</si>
  <si>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</si>
  <si>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</si>
  <si>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</si>
  <si>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</si>
  <si>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</si>
  <si>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</si>
  <si>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</si>
  <si>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</si>
  <si>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</si>
  <si>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</si>
  <si>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</si>
  <si>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</si>
  <si>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</si>
  <si>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</si>
  <si>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</si>
  <si>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</si>
  <si>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</si>
  <si>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</si>
  <si>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</si>
  <si>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</si>
  <si>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</si>
  <si>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</si>
  <si>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</si>
  <si>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</si>
  <si>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</si>
  <si>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</si>
  <si>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</si>
  <si>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</si>
  <si>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</si>
  <si>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</si>
  <si>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</si>
  <si>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</si>
  <si>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</si>
  <si>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</si>
  <si>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</si>
  <si>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</si>
  <si>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</si>
  <si>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</si>
  <si>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</si>
  <si>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</si>
  <si>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</si>
  <si>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</si>
  <si>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</si>
  <si>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</si>
  <si>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</si>
  <si>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</si>
  <si>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</si>
  <si>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</si>
  <si>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</si>
  <si>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</si>
  <si>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</si>
  <si>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</si>
  <si>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</si>
  <si>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</si>
  <si>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</si>
  <si>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</si>
  <si>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</si>
  <si>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</si>
  <si>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</si>
  <si>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</si>
  <si>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</si>
  <si>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</si>
  <si>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</si>
  <si>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</si>
  <si>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</si>
  <si>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</si>
  <si>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</si>
  <si>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</si>
  <si>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</si>
  <si>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</si>
  <si>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</si>
  <si>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</si>
  <si>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</si>
  <si>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</si>
  <si>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</si>
  <si>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</si>
  <si>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</si>
  <si>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</si>
  <si>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</si>
  <si>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</si>
  <si>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</si>
  <si>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</si>
  <si>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</si>
  <si>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</si>
  <si>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</si>
  <si>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</si>
  <si>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</si>
  <si>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</si>
  <si>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</si>
  <si>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</si>
  <si>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</si>
  <si>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</si>
  <si>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</si>
  <si>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</si>
  <si>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</si>
  <si>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</si>
  <si>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</si>
  <si>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</si>
  <si>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</si>
  <si>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</si>
  <si>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</si>
  <si>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</si>
  <si>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</si>
  <si>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</si>
  <si>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</si>
  <si>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</si>
  <si>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</si>
  <si>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</si>
  <si>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</si>
  <si>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</si>
  <si>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</si>
  <si>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</si>
  <si>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</si>
  <si>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</si>
  <si>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</si>
  <si>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</si>
  <si>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</si>
  <si>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</si>
  <si>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</si>
  <si>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</si>
  <si>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</si>
  <si>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</si>
  <si>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</si>
  <si>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</si>
  <si>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</si>
  <si>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</si>
  <si>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</si>
  <si>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</si>
  <si>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</si>
  <si>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</si>
  <si>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</si>
  <si>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</si>
  <si>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</si>
  <si>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</si>
  <si>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</si>
  <si>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</si>
  <si>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</si>
  <si>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</si>
  <si>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</si>
  <si>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</si>
  <si>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</si>
  <si>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</si>
  <si>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</si>
  <si>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</si>
  <si>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</si>
  <si>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</si>
  <si>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</si>
  <si>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</si>
  <si>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</si>
  <si>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</si>
  <si>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</si>
  <si>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</si>
  <si>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</si>
  <si>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</si>
  <si>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</si>
  <si>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</si>
  <si>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</si>
  <si>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</si>
  <si>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</si>
  <si>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</si>
  <si>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</si>
  <si>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</si>
  <si>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</si>
  <si>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</si>
  <si>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</si>
  <si>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</si>
  <si>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</si>
  <si>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</si>
  <si>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</si>
  <si>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</si>
  <si>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</si>
  <si>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</si>
  <si>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</si>
  <si>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</si>
  <si>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</si>
  <si>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</si>
  <si>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</si>
  <si>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</si>
  <si>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</si>
  <si>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</si>
  <si>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</si>
  <si>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</si>
  <si>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</si>
  <si>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</si>
  <si>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</si>
  <si>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</si>
  <si>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</si>
  <si>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</si>
  <si>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</si>
  <si>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</si>
  <si>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</si>
  <si>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</si>
  <si>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</si>
  <si>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</si>
  <si>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</si>
  <si>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</si>
  <si>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</si>
  <si>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</si>
  <si>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</si>
  <si>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</si>
  <si>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</si>
  <si>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</si>
  <si>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</si>
  <si>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</si>
  <si>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</si>
  <si>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</si>
  <si>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</si>
  <si>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</si>
  <si>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</si>
  <si>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</si>
  <si>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</si>
  <si>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</si>
  <si>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</si>
  <si>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</si>
  <si>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</si>
  <si>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</si>
  <si>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</si>
  <si>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</si>
  <si>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</si>
  <si>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</si>
  <si>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</si>
  <si>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</si>
  <si>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</si>
  <si>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</si>
  <si>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</si>
  <si>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</si>
  <si>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</si>
  <si>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</si>
  <si>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</si>
  <si>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</si>
  <si>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</si>
  <si>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</si>
  <si>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</si>
  <si>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</si>
  <si>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</si>
  <si>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</si>
  <si>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</si>
  <si>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</si>
  <si>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</si>
  <si>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</si>
  <si>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</si>
  <si>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</si>
  <si>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</si>
  <si>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</si>
  <si>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</si>
  <si>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</si>
  <si>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</si>
  <si>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</si>
  <si>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</si>
  <si>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</si>
  <si>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</si>
  <si>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</si>
  <si>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</si>
  <si>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</si>
  <si>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</si>
  <si>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</si>
  <si>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</si>
  <si>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</si>
  <si>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</si>
  <si>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</si>
  <si>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</si>
  <si>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</si>
  <si>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</si>
  <si>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</si>
  <si>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</si>
  <si>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</si>
  <si>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</si>
  <si>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</si>
  <si>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</si>
  <si>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</si>
  <si>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</si>
  <si>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</si>
  <si>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</si>
  <si>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</si>
  <si>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</si>
  <si>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</si>
  <si>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</si>
  <si>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</si>
  <si>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</si>
  <si>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</si>
  <si>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</si>
  <si>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</si>
  <si>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</si>
  <si>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</si>
  <si>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</si>
  <si>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</si>
  <si>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</si>
  <si>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</si>
  <si>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</si>
  <si>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</si>
  <si>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</si>
  <si>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</si>
  <si>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</si>
  <si>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</si>
  <si>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</si>
  <si>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</si>
  <si>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</si>
  <si>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</si>
  <si>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</si>
  <si>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</si>
  <si>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</si>
  <si>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</si>
  <si>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</si>
  <si>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</si>
  <si>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</si>
  <si>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</si>
  <si>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</si>
  <si>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</si>
  <si>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</si>
  <si>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</si>
  <si>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</si>
  <si>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</si>
  <si>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</si>
  <si>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</si>
  <si>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</si>
  <si>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</si>
  <si>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</si>
  <si>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</si>
  <si>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</si>
  <si>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</si>
  <si>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</si>
  <si>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</si>
  <si>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</si>
  <si>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</si>
  <si>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</si>
  <si>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</si>
  <si>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</si>
  <si>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</si>
  <si>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</si>
  <si>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</si>
  <si>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</si>
  <si>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</si>
  <si>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</si>
  <si>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</si>
  <si>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</si>
  <si>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</si>
  <si>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</si>
  <si>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</si>
  <si>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</si>
  <si>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</si>
  <si>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</si>
  <si>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</si>
  <si>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</si>
  <si>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</si>
  <si>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</si>
  <si>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</si>
  <si>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</si>
  <si>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</si>
  <si>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</si>
  <si>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</si>
  <si>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</si>
  <si>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</si>
  <si>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</si>
  <si>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</si>
  <si>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</si>
  <si>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</si>
  <si>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</si>
  <si>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</si>
  <si>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</si>
  <si>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</si>
  <si>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</si>
  <si>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</si>
  <si>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</si>
  <si>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</si>
  <si>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</si>
  <si>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</si>
  <si>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</si>
  <si>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</si>
  <si>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</si>
  <si>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</si>
  <si>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</si>
  <si>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</si>
  <si>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</si>
  <si>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</si>
  <si>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</si>
  <si>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</si>
  <si>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</si>
  <si>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</si>
  <si>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</si>
  <si>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</si>
  <si>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</si>
  <si>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</si>
  <si>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</si>
  <si>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</si>
  <si>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</si>
  <si>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</si>
  <si>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</si>
  <si>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</si>
  <si>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</si>
  <si>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</si>
  <si>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</si>
  <si>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</si>
  <si>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</si>
  <si>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</si>
  <si>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</si>
  <si>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</si>
  <si>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</si>
  <si>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</si>
  <si>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</si>
  <si>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</si>
  <si>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</si>
  <si>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</si>
  <si>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</si>
  <si>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</si>
  <si>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</si>
  <si>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</si>
  <si>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</si>
  <si>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</si>
  <si>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</si>
  <si>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</si>
  <si>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</si>
  <si>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</si>
  <si>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</si>
  <si>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</si>
  <si>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</si>
  <si>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</si>
  <si>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</si>
  <si>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</si>
  <si>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</si>
  <si>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</si>
  <si>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</si>
  <si>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</si>
  <si>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</si>
  <si>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</si>
  <si>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</si>
  <si>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</si>
  <si>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</si>
  <si>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</si>
  <si>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</si>
  <si>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</si>
  <si>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</si>
  <si>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</si>
  <si>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</si>
  <si>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</si>
  <si>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</si>
  <si>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</si>
  <si>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</si>
  <si>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</si>
  <si>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</si>
  <si>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</si>
  <si>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</si>
  <si>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</si>
  <si>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</si>
  <si>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</si>
  <si>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</si>
  <si>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</si>
  <si>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</si>
  <si>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</si>
  <si>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</si>
  <si>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</si>
  <si>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</si>
  <si>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</si>
  <si>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</si>
  <si>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</si>
  <si>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</si>
  <si>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</si>
  <si>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</si>
  <si>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</si>
  <si>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</si>
  <si>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</si>
  <si>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</si>
  <si>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</si>
  <si>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</si>
  <si>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</si>
  <si>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</si>
  <si>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</si>
  <si>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</si>
  <si>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</si>
  <si>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</si>
  <si>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</si>
  <si>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</si>
  <si>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</si>
  <si>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</si>
  <si>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</si>
  <si>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</si>
  <si>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</si>
  <si>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</si>
  <si>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</si>
  <si>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</si>
  <si>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</si>
  <si>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</si>
  <si>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</si>
  <si>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</si>
  <si>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</si>
  <si>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</si>
  <si>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</si>
  <si>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</si>
  <si>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</si>
  <si>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</si>
  <si>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</si>
  <si>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</si>
  <si>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</si>
  <si>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</si>
  <si>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</si>
  <si>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</si>
  <si>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</si>
  <si>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</si>
  <si>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</si>
  <si>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</si>
  <si>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</si>
  <si>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</si>
  <si>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</si>
  <si>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</si>
  <si>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</si>
  <si>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</si>
  <si>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</si>
  <si>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</si>
  <si>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</si>
  <si>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</si>
  <si>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</si>
  <si>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</si>
  <si>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</si>
  <si>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</si>
  <si>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</si>
  <si>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</si>
  <si>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</si>
  <si>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</si>
  <si>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</si>
  <si>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</si>
  <si>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</si>
  <si>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</si>
  <si>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</si>
  <si>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</si>
  <si>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</si>
  <si>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</si>
  <si>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</si>
  <si>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</si>
  <si>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</si>
  <si>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</si>
  <si>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</si>
  <si>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</si>
  <si>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</si>
  <si>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</si>
  <si>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</si>
  <si>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</si>
  <si>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</si>
  <si>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</si>
  <si>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</si>
  <si>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</si>
  <si>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</si>
  <si>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</si>
  <si>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</si>
  <si>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</si>
  <si>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</si>
  <si>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</si>
  <si>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</si>
  <si>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</si>
  <si>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</si>
  <si>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</si>
  <si>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</si>
  <si>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</si>
  <si>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</si>
  <si>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</si>
  <si>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</si>
  <si>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</si>
  <si>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</si>
  <si>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</si>
  <si>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</si>
  <si>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</si>
  <si>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</si>
  <si>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</si>
  <si>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</si>
  <si>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</si>
  <si>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</si>
  <si>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</si>
  <si>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</si>
  <si>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</si>
  <si>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</si>
  <si>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</si>
  <si>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</si>
  <si>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</si>
  <si>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</si>
  <si>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</si>
  <si>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</si>
  <si>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</si>
  <si>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</si>
  <si>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</si>
  <si>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</si>
  <si>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</si>
  <si>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</si>
  <si>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</si>
  <si>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</si>
  <si>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</si>
  <si>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</si>
  <si>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</si>
  <si>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</si>
  <si>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</si>
  <si>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</si>
  <si>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</si>
  <si>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</si>
  <si>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</si>
  <si>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</si>
  <si>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</si>
  <si>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</si>
  <si>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</si>
  <si>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</si>
  <si>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</si>
  <si>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</si>
  <si>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</si>
  <si>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</si>
  <si>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</si>
  <si>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</si>
  <si>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</si>
  <si>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</si>
  <si>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</si>
  <si>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</si>
  <si>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</si>
  <si>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</si>
  <si>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</si>
  <si>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</si>
  <si>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</si>
  <si>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</si>
  <si>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</si>
  <si>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</si>
  <si>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</si>
  <si>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</si>
  <si>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</si>
  <si>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</si>
  <si>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</si>
  <si>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</si>
  <si>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</si>
  <si>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</si>
  <si>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</si>
  <si>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</si>
  <si>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</si>
  <si>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</si>
  <si>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</si>
  <si>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</si>
  <si>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</si>
  <si>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</si>
  <si>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</si>
  <si>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</si>
  <si>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</si>
  <si>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</si>
  <si>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</si>
  <si>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</si>
  <si>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</si>
  <si>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</si>
  <si>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</si>
  <si>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</si>
  <si>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</si>
  <si>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</si>
  <si>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</si>
  <si>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</si>
  <si>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</si>
  <si>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</si>
  <si>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</si>
  <si>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</si>
  <si>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</si>
  <si>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</si>
  <si>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</si>
  <si>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</si>
  <si>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</si>
  <si>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</si>
  <si>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</si>
  <si>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</si>
  <si>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</si>
  <si>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</si>
  <si>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</si>
  <si>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</si>
  <si>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</si>
  <si>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</si>
  <si>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</si>
  <si>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</si>
  <si>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</si>
  <si>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</si>
  <si>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</si>
  <si>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</si>
  <si>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</si>
  <si>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</si>
  <si>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</si>
  <si>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</si>
  <si>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</si>
  <si>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</si>
  <si>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</si>
  <si>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</si>
  <si>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</si>
  <si>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</si>
  <si>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</si>
  <si>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</si>
  <si>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</si>
  <si>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</si>
  <si>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</si>
  <si>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</si>
  <si>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</si>
  <si>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</si>
  <si>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</si>
  <si>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</si>
  <si>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</si>
  <si>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</si>
  <si>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</si>
  <si>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</si>
  <si>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</si>
  <si>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</si>
  <si>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</si>
  <si>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</si>
  <si>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</si>
  <si>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</si>
  <si>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</si>
  <si>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</si>
  <si>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</si>
  <si>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</si>
  <si>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</si>
  <si>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</si>
  <si>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</si>
  <si>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</si>
  <si>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</si>
  <si>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</si>
  <si>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</si>
  <si>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</si>
  <si>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</si>
  <si>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</si>
  <si>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</si>
  <si>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</si>
  <si>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</si>
  <si>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</si>
  <si>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</si>
  <si>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</si>
  <si>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</si>
  <si>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</si>
  <si>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</si>
  <si>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</si>
  <si>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</si>
  <si>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</si>
  <si>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</si>
  <si>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</si>
  <si>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</si>
  <si>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</si>
  <si>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</si>
  <si>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</si>
  <si>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</si>
  <si>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</si>
  <si>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</si>
  <si>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</si>
  <si>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</si>
  <si>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</si>
  <si>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</si>
  <si>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</si>
  <si>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</si>
  <si>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</si>
  <si>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</si>
  <si>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</si>
  <si>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</si>
  <si>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</si>
  <si>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</si>
  <si>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</si>
  <si>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</si>
  <si>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</si>
  <si>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</si>
  <si>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</si>
  <si>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</si>
  <si>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</si>
  <si>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</si>
  <si>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</si>
  <si>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</si>
  <si>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</si>
  <si>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</si>
  <si>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</si>
  <si>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</si>
  <si>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</si>
  <si>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</si>
  <si>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</si>
  <si>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</si>
  <si>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</si>
  <si>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</si>
  <si>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</si>
  <si>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</si>
  <si>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</si>
  <si>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</si>
  <si>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</si>
  <si>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</si>
  <si>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</si>
  <si>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</si>
  <si>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</si>
  <si>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</si>
  <si>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</si>
  <si>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</si>
  <si>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</si>
  <si>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</si>
  <si>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</si>
  <si>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</si>
  <si>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</si>
  <si>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</si>
  <si>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</si>
  <si>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</si>
  <si>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</si>
  <si>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</si>
  <si>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</si>
  <si>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</si>
  <si>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</si>
  <si>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</si>
  <si>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</si>
  <si>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</si>
  <si>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</si>
  <si>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</si>
  <si>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</si>
  <si>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</si>
  <si>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</si>
  <si>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</si>
  <si>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</si>
  <si>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</si>
  <si>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</si>
  <si>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</si>
  <si>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</si>
  <si>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</si>
  <si>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</si>
  <si>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</si>
  <si>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</si>
  <si>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</si>
  <si>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</si>
  <si>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</si>
  <si>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</si>
  <si>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</si>
  <si>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</si>
  <si>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</si>
  <si>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</si>
  <si>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</si>
  <si>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</si>
  <si>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</si>
  <si>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</si>
  <si>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</si>
  <si>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</si>
  <si>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</si>
  <si>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</si>
  <si>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</si>
  <si>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</si>
  <si>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</si>
  <si>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</si>
  <si>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</si>
  <si>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</si>
  <si>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</si>
  <si>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</si>
  <si>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</si>
  <si>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</si>
  <si>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</si>
  <si>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</si>
  <si>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</si>
  <si>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</si>
  <si>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</si>
  <si>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</si>
  <si>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</si>
  <si>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</si>
  <si>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</si>
  <si>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</si>
  <si>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</si>
  <si>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</si>
  <si>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</si>
  <si>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</si>
  <si>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</si>
  <si>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</si>
  <si>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</si>
  <si>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</si>
  <si>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</si>
  <si>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</si>
  <si>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</si>
  <si>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</si>
  <si>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</si>
  <si>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</si>
  <si>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</si>
  <si>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</si>
  <si>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</si>
  <si>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</si>
  <si>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</si>
  <si>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</si>
  <si>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</si>
  <si>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</si>
  <si>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</si>
  <si>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</si>
  <si>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</si>
  <si>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</si>
  <si>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</si>
  <si>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</si>
  <si>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</si>
  <si>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</si>
  <si>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</si>
  <si>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</si>
  <si>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</si>
  <si>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</si>
  <si>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</si>
  <si>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</si>
  <si>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</si>
  <si>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</si>
  <si>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</si>
  <si>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</si>
  <si>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</si>
  <si>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</si>
  <si>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</si>
  <si>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</si>
  <si>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</si>
  <si>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</si>
  <si>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</si>
  <si>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</si>
  <si>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</si>
  <si>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</si>
  <si>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</si>
  <si>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</si>
  <si>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</si>
  <si>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</si>
  <si>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</si>
  <si>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</si>
  <si>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</si>
  <si>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</si>
  <si>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</si>
  <si>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</si>
  <si>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</si>
  <si>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</si>
  <si>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</si>
  <si>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</si>
  <si>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</si>
  <si>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</si>
  <si>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</si>
  <si>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</si>
  <si>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</si>
  <si>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</si>
  <si>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</si>
  <si>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</si>
  <si>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</si>
  <si>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</si>
  <si>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</si>
  <si>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</si>
  <si>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</si>
  <si>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</si>
  <si>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</si>
  <si>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</si>
  <si>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</si>
  <si>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</si>
  <si>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</si>
  <si>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</si>
  <si>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</si>
  <si>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</si>
  <si>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</si>
  <si>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</si>
  <si>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</si>
  <si>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</si>
  <si>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</si>
  <si>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</si>
  <si>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</si>
  <si>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</si>
  <si>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</si>
  <si>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</si>
  <si>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</si>
  <si>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</si>
  <si>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</si>
  <si>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</si>
  <si>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</si>
  <si>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</si>
  <si>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</si>
  <si>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</si>
  <si>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</si>
  <si>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</si>
  <si>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</si>
  <si>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</si>
  <si>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</si>
  <si>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</si>
  <si>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</si>
  <si>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</si>
  <si>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</si>
  <si>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</si>
  <si>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</si>
  <si>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</si>
  <si>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</si>
  <si>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</si>
  <si>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</si>
  <si>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</si>
  <si>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</si>
  <si>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</si>
  <si>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</si>
  <si>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</si>
  <si>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</si>
  <si>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</si>
  <si>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</si>
  <si>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</si>
  <si>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</si>
  <si>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</si>
  <si>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</si>
  <si>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</si>
  <si>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</si>
  <si>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</si>
  <si>
    <t>192</t>
  </si>
  <si>
    <t>193</t>
  </si>
  <si>
    <t>194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</si>
</sst>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dimension ref="A1:Y374"/>
  <sheetViews>
    <sheetView workbookViewId="0">
      <pane xSplit="1" ySplit="1" topLeftCell="B2" activePane="bottomRight" state="frozen"/>
      <selection pane="topRight" activeCell="B1" sqref="B1"/>
      <selection pane="bottomLeft" activeCell="A2" sqref="A2"/>
      <selection pane="bottomRight" activeCell="O375" sqref="O375"/>
    </sheetView>
  </sheetViews>
  <sheetFormatPr defaultRowHeight="14.4" outlineLevelCol="1" x14ac:dyDescent="0.3"/>
  <cols>
    <col min="1" max="1" width="43.6640625" bestFit="1" customWidth="1"/>
    <col min="2" max="2" width="69" bestFit="1" customWidth="1"/>
    <col min="3" max="3" width="10.44140625" bestFit="1" customWidth="1"/>
    <col min="4" max="4" width="8" style="5" bestFit="1" customWidth="1"/>
    <col min="5" max="5" width="10.33203125" bestFit="1" customWidth="1"/>
    <col min="6" max="7" width="8" style="5" hidden="1" customWidth="1" outlineLevel="1"/>
    <col min="8" max="8" width="10" style="5" hidden="1" customWidth="1" outlineLevel="1"/>
    <col min="9" max="14" width="8" style="5" hidden="1" customWidth="1" outlineLevel="1"/>
    <col min="15" max="15" width="9.109375" style="5" collapsed="1"/>
    <col min="16" max="16" width="14.5546875" style="1" customWidth="1"/>
    <col min="17" max="17" width="28.109375" customWidth="1" outlineLevel="1"/>
    <col min="18" max="18" width="60.109375" customWidth="1" outlineLevel="1"/>
    <col min="19" max="19" width="43.33203125" customWidth="1" outlineLevel="1"/>
    <col min="20" max="20" width="28.109375" customWidth="1" outlineLevel="1"/>
    <col min="21" max="21" width="11.109375" customWidth="1"/>
    <col min="22" max="23" width="9.109375" hidden="1" customWidth="1"/>
    <col min="24" max="24" width="11.109375" hidden="1" customWidth="1"/>
  </cols>
  <sheetData>
    <row r="1" spans="1:25" ht="22.5" customHeight="1" x14ac:dyDescent="0.3">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customHeight="1" x14ac:dyDescent="0.3">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customHeight="1" x14ac:dyDescent="0.3">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customHeight="1" x14ac:dyDescent="0.3">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customHeight="1" x14ac:dyDescent="0.3">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customHeight="1" x14ac:dyDescent="0.3">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customHeight="1" x14ac:dyDescent="0.3">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customHeight="1" x14ac:dyDescent="0.3">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customHeight="1" x14ac:dyDescent="0.3">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customHeight="1" x14ac:dyDescent="0.3">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customHeight="1" x14ac:dyDescent="0.3">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customHeight="1" x14ac:dyDescent="0.3">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customHeight="1" x14ac:dyDescent="0.3">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customHeight="1" x14ac:dyDescent="0.3">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customHeight="1" x14ac:dyDescent="0.3">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customHeight="1" x14ac:dyDescent="0.3">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customHeight="1" x14ac:dyDescent="0.3">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customHeight="1" x14ac:dyDescent="0.3">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customHeight="1" x14ac:dyDescent="0.3">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customHeight="1" x14ac:dyDescent="0.3">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customHeight="1" x14ac:dyDescent="0.3">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customHeight="1" x14ac:dyDescent="0.3">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customHeight="1" x14ac:dyDescent="0.3">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customHeight="1" x14ac:dyDescent="0.3">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customHeight="1" x14ac:dyDescent="0.3">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customHeight="1" x14ac:dyDescent="0.3">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customHeight="1" x14ac:dyDescent="0.3">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customHeight="1" x14ac:dyDescent="0.3">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customHeight="1" x14ac:dyDescent="0.3">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customHeight="1" x14ac:dyDescent="0.3">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customHeight="1" x14ac:dyDescent="0.3">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t="str">
        <f t="shared" si="3"/>
        <v/>
      </c>
      <c r="K31" s="10">
        <f t="shared" si="4"/>
        <v>4.3045999999999996E-3</v>
      </c>
      <c r="L31" s="9">
        <f t="shared" si="5"/>
        <v>2.9956953999999998</v>
      </c>
      <c r="M31" s="9" t="str">
        <f t="shared" si="6"/>
        <v/>
      </c>
      <c r="N31" s="9">
        <f t="shared" si="7"/>
        <v>2.9956953999999998</v>
      </c>
      <c r="O31" s="4"/>
      <c r="Q31" s="7" t="s">
        <v>1267</v>
      </c>
      <c r="R31" s="7" t="s">
        <v>1268</v>
      </c>
      <c r="S31" s="8" t="s">
        <v>1269</v>
      </c>
      <c r="T31" s="7"/>
      <c r="U31" t="str">
        <f t="shared" si="8"/>
        <v/>
      </c>
      <c r="V31">
        <f t="shared" si="9"/>
        <v>4.3045999999999996E-3</v>
      </c>
      <c r="W31" t="str">
        <f t="shared" si="10"/>
        <v/>
      </c>
      <c r="X31" t="str">
        <f t="shared" si="11"/>
        <v/>
      </c>
      <c r="Y31" t="str">
        <f>VLOOKUP($A31,Runs!$G:$G,1,FALSE)</f>
        <v>Where are the penguins?</v>
      </c>
    </row>
    <row r="32" spans="1:25" ht="22.5" customHeight="1" x14ac:dyDescent="0.3">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customHeight="1" x14ac:dyDescent="0.3">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t="str">
        <f t="shared" si="3"/>
        <v/>
      </c>
      <c r="K33" s="10">
        <f t="shared" si="4"/>
        <v>4.3122000000000004E-3</v>
      </c>
      <c r="L33" s="9">
        <f t="shared" si="5"/>
        <v>2.9956877999999998</v>
      </c>
      <c r="M33" s="9" t="str">
        <f t="shared" si="6"/>
        <v/>
      </c>
      <c r="N33" s="9">
        <f t="shared" si="7"/>
        <v>2.9956877999999998</v>
      </c>
      <c r="O33" s="4"/>
      <c r="Q33" s="7"/>
      <c r="R33" s="7" t="s">
        <v>1419</v>
      </c>
      <c r="S33" s="8" t="s">
        <v>1420</v>
      </c>
      <c r="T33" s="7"/>
      <c r="U33" t="str">
        <f t="shared" si="8"/>
        <v/>
      </c>
      <c r="V33">
        <f t="shared" si="9"/>
        <v>4.3122000000000004E-3</v>
      </c>
      <c r="W33" t="str">
        <f t="shared" si="10"/>
        <v/>
      </c>
      <c r="X33" t="str">
        <f t="shared" si="11"/>
        <v/>
      </c>
      <c r="Y33" t="str">
        <f>VLOOKUP($A33,Runs!$G:$G,1,FALSE)</f>
        <v>Stardust Crusaders</v>
      </c>
    </row>
    <row r="34" spans="1:25" ht="22.5" customHeight="1" x14ac:dyDescent="0.3">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customHeight="1" x14ac:dyDescent="0.3">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customHeight="1" x14ac:dyDescent="0.3">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t="str">
        <f t="shared" si="3"/>
        <v/>
      </c>
      <c r="K36" s="10">
        <f t="shared" si="4"/>
        <v>4.5069000000000003E-3</v>
      </c>
      <c r="L36" s="9">
        <f t="shared" si="5"/>
        <v>4.9954931</v>
      </c>
      <c r="M36" s="9" t="str">
        <f t="shared" si="6"/>
        <v/>
      </c>
      <c r="N36" s="9">
        <f t="shared" si="7"/>
        <v>4.9954931</v>
      </c>
      <c r="O36" s="4"/>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customHeight="1" x14ac:dyDescent="0.3">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customHeight="1" x14ac:dyDescent="0.3">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customHeight="1" x14ac:dyDescent="0.3">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customHeight="1" x14ac:dyDescent="0.3">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customHeight="1" x14ac:dyDescent="0.3">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customHeight="1" x14ac:dyDescent="0.3">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customHeight="1" x14ac:dyDescent="0.3">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customHeight="1" x14ac:dyDescent="0.3">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customHeight="1" x14ac:dyDescent="0.3">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customHeight="1" x14ac:dyDescent="0.3">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customHeight="1" x14ac:dyDescent="0.3">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customHeight="1" x14ac:dyDescent="0.3">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customHeight="1" x14ac:dyDescent="0.3">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t="str">
        <f t="shared" si="3"/>
        <v/>
      </c>
      <c r="K49" s="10">
        <f t="shared" si="4"/>
        <v>6.4064000000000005E-3</v>
      </c>
      <c r="L49" s="9">
        <f t="shared" si="5"/>
        <v>3.9935936000000001</v>
      </c>
      <c r="M49" s="9" t="str">
        <f t="shared" si="6"/>
        <v/>
      </c>
      <c r="N49" s="9">
        <f t="shared" si="7"/>
        <v>3.9935936000000001</v>
      </c>
      <c r="O49" s="4"/>
      <c r="Q49" s="7" t="s">
        <v>1551</v>
      </c>
      <c r="R49" s="7" t="s">
        <v>1552</v>
      </c>
      <c r="S49" s="8" t="s">
        <v>1553</v>
      </c>
      <c r="T49" s="7"/>
      <c r="U49" t="str">
        <f t="shared" si="8"/>
        <v/>
      </c>
      <c r="V49" t="str">
        <f t="shared" si="9"/>
        <v/>
      </c>
      <c r="W49">
        <f t="shared" si="10"/>
        <v>6.4064000000000005E-3</v>
      </c>
      <c r="X49" t="str">
        <f t="shared" si="11"/>
        <v/>
      </c>
      <c r="Y49" t="str">
        <f>VLOOKUP($A49,Runs!$G:$G,1,FALSE)</f>
        <v>The Fezzan Corridors</v>
      </c>
    </row>
    <row r="50" spans="1:25" ht="22.5" customHeight="1" x14ac:dyDescent="0.3">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t="str">
        <f t="shared" si="3"/>
        <v/>
      </c>
      <c r="K50" s="10">
        <f t="shared" si="4"/>
        <v>6.4065000000000007E-3</v>
      </c>
      <c r="L50" s="9">
        <f t="shared" si="5"/>
        <v>3.9935934999999998</v>
      </c>
      <c r="M50" s="9" t="str">
        <f t="shared" si="6"/>
        <v/>
      </c>
      <c r="N50" s="9">
        <f t="shared" si="7"/>
        <v>3.9935934999999998</v>
      </c>
      <c r="O50" s="4"/>
      <c r="Q50" s="7" t="s">
        <v>932</v>
      </c>
      <c r="R50" s="7" t="s">
        <v>1415</v>
      </c>
      <c r="S50" s="8" t="s">
        <v>1416</v>
      </c>
      <c r="T50" s="7"/>
      <c r="U50" t="str">
        <f t="shared" si="8"/>
        <v/>
      </c>
      <c r="V50" t="str">
        <f t="shared" si="9"/>
        <v/>
      </c>
      <c r="W50">
        <f t="shared" si="10"/>
        <v>6.4065000000000007E-3</v>
      </c>
      <c r="X50" t="str">
        <f t="shared" si="11"/>
        <v/>
      </c>
      <c r="Y50" t="str">
        <f>VLOOKUP($A50,Runs!$G:$G,1,FALSE)</f>
        <v>Stiff Upper Lippe</v>
      </c>
    </row>
    <row r="51" spans="1:25" ht="22.5" customHeight="1" x14ac:dyDescent="0.3">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customHeight="1" x14ac:dyDescent="0.3">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t="str">
        <f t="shared" si="3"/>
        <v/>
      </c>
      <c r="K52" s="10">
        <f t="shared" si="4"/>
        <v>6.4068000000000007E-3</v>
      </c>
      <c r="L52" s="9">
        <f t="shared" si="5"/>
        <v>3.9935931999999998</v>
      </c>
      <c r="M52" s="9" t="str">
        <f t="shared" si="6"/>
        <v/>
      </c>
      <c r="N52" s="9">
        <f t="shared" si="7"/>
        <v>3.9935931999999998</v>
      </c>
      <c r="O52" s="4"/>
      <c r="Q52" s="7" t="s">
        <v>1392</v>
      </c>
      <c r="R52" s="7" t="s">
        <v>1393</v>
      </c>
      <c r="S52" s="8" t="s">
        <v>1394</v>
      </c>
      <c r="T52" s="7"/>
      <c r="U52" t="str">
        <f t="shared" si="8"/>
        <v/>
      </c>
      <c r="V52" t="str">
        <f t="shared" si="9"/>
        <v/>
      </c>
      <c r="W52">
        <f t="shared" si="10"/>
        <v>6.4068000000000007E-3</v>
      </c>
      <c r="X52" t="str">
        <f t="shared" si="11"/>
        <v/>
      </c>
      <c r="Y52" t="str">
        <f>VLOOKUP($A52,Runs!$G:$G,1,FALSE)</f>
        <v>Pick Your Poison</v>
      </c>
    </row>
    <row r="53" spans="1:25" ht="22.5" customHeight="1" x14ac:dyDescent="0.3">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customHeight="1" x14ac:dyDescent="0.3">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t="str">
        <f t="shared" si="3"/>
        <v/>
      </c>
      <c r="K54" s="10">
        <f t="shared" si="4"/>
        <v>6.4069000000000001E-3</v>
      </c>
      <c r="L54" s="9">
        <f t="shared" si="5"/>
        <v>3.9935931</v>
      </c>
      <c r="M54" s="9" t="str">
        <f t="shared" si="6"/>
        <v/>
      </c>
      <c r="N54" s="9">
        <f t="shared" si="7"/>
        <v>3.9935931</v>
      </c>
      <c r="O54" s="4"/>
      <c r="Q54" s="7" t="s">
        <v>1373</v>
      </c>
      <c r="R54" s="7" t="s">
        <v>1374</v>
      </c>
      <c r="S54" s="8" t="s">
        <v>1375</v>
      </c>
      <c r="T54" s="7"/>
      <c r="U54" t="str">
        <f t="shared" si="8"/>
        <v/>
      </c>
      <c r="V54" t="str">
        <f t="shared" si="9"/>
        <v/>
      </c>
      <c r="W54">
        <f t="shared" si="10"/>
        <v>6.4069000000000001E-3</v>
      </c>
      <c r="X54" t="str">
        <f t="shared" si="11"/>
        <v/>
      </c>
      <c r="Y54" t="str">
        <f>VLOOKUP($A54,Runs!$G:$G,1,FALSE)</f>
        <v>Mass Production</v>
      </c>
    </row>
    <row r="55" spans="1:25" ht="22.5" customHeight="1" x14ac:dyDescent="0.3">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customHeight="1" x14ac:dyDescent="0.3">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customHeight="1" x14ac:dyDescent="0.3">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customHeight="1" x14ac:dyDescent="0.3">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t="str">
        <f t="shared" si="3"/>
        <v/>
      </c>
      <c r="K58" s="10">
        <f t="shared" si="4"/>
        <v>6.3068000000000004E-3</v>
      </c>
      <c r="L58" s="9">
        <f t="shared" si="5"/>
        <v>2.9936932000000001</v>
      </c>
      <c r="M58" s="9" t="str">
        <f t="shared" si="6"/>
        <v/>
      </c>
      <c r="N58" s="9">
        <f t="shared" si="7"/>
        <v>2.9936932000000001</v>
      </c>
      <c r="O58" s="4"/>
      <c r="Q58" s="7"/>
      <c r="R58" s="7" t="s">
        <v>1417</v>
      </c>
      <c r="S58" s="8" t="s">
        <v>1418</v>
      </c>
      <c r="T58" s="7"/>
      <c r="U58" t="str">
        <f t="shared" si="8"/>
        <v/>
      </c>
      <c r="V58">
        <f t="shared" si="9"/>
        <v>6.3068000000000004E-3</v>
      </c>
      <c r="W58" t="str">
        <f t="shared" si="10"/>
        <v/>
      </c>
      <c r="X58" t="str">
        <f t="shared" si="11"/>
        <v/>
      </c>
      <c r="Y58" t="str">
        <f>VLOOKUP($A58,Runs!$G:$G,1,FALSE)</f>
        <v>Sun Invasion</v>
      </c>
    </row>
    <row r="59" spans="1:25" ht="22.5" customHeight="1" x14ac:dyDescent="0.3">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customHeight="1" x14ac:dyDescent="0.3">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customHeight="1" x14ac:dyDescent="0.3">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customHeight="1" x14ac:dyDescent="0.3">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customHeight="1" x14ac:dyDescent="0.3">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customHeight="1" x14ac:dyDescent="0.3">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customHeight="1" x14ac:dyDescent="0.3">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customHeight="1" x14ac:dyDescent="0.3">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customHeight="1" x14ac:dyDescent="0.3">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customHeight="1" x14ac:dyDescent="0.3">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t="str">
        <f t="shared" si="15"/>
        <v/>
      </c>
      <c r="K68" s="10">
        <f t="shared" si="16"/>
        <v>7.4048000000000004E-3</v>
      </c>
      <c r="L68" s="9">
        <f t="shared" si="17"/>
        <v>3.9925951999999998</v>
      </c>
      <c r="M68" s="9" t="str">
        <f t="shared" si="18"/>
        <v/>
      </c>
      <c r="N68" s="9">
        <f t="shared" si="19"/>
        <v>3.9925951999999998</v>
      </c>
      <c r="O68" s="4"/>
      <c r="Q68" s="7" t="s">
        <v>1444</v>
      </c>
      <c r="R68" s="7" t="s">
        <v>1445</v>
      </c>
      <c r="S68" s="8" t="s">
        <v>1446</v>
      </c>
      <c r="T68" s="7"/>
      <c r="U68" t="str">
        <f t="shared" si="20"/>
        <v/>
      </c>
      <c r="V68" t="str">
        <f t="shared" si="21"/>
        <v/>
      </c>
      <c r="W68">
        <f t="shared" si="22"/>
        <v>7.4048000000000004E-3</v>
      </c>
      <c r="X68" t="str">
        <f t="shared" si="23"/>
        <v/>
      </c>
      <c r="Y68" t="str">
        <f>VLOOKUP($A68,Runs!$G:$G,1,FALSE)</f>
        <v>Tiger of Mysore</v>
      </c>
    </row>
    <row r="69" spans="1:25" ht="22.5" customHeight="1" x14ac:dyDescent="0.3">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customHeight="1" x14ac:dyDescent="0.3">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customHeight="1" x14ac:dyDescent="0.3">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customHeight="1" x14ac:dyDescent="0.3">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customHeight="1" x14ac:dyDescent="0.3">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customHeight="1" x14ac:dyDescent="0.3">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customHeight="1" x14ac:dyDescent="0.3">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customHeight="1" x14ac:dyDescent="0.3">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customHeight="1" x14ac:dyDescent="0.3">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t="str">
        <f t="shared" si="15"/>
        <v/>
      </c>
      <c r="K77" s="10">
        <f t="shared" si="16"/>
        <v>7.3029000000000002E-3</v>
      </c>
      <c r="L77" s="9">
        <f t="shared" si="17"/>
        <v>2.9926971</v>
      </c>
      <c r="M77" s="9" t="str">
        <f t="shared" si="18"/>
        <v/>
      </c>
      <c r="N77" s="9">
        <f t="shared" si="19"/>
        <v>2.9926971</v>
      </c>
      <c r="O77" s="4"/>
      <c r="Q77" s="7" t="s">
        <v>1139</v>
      </c>
      <c r="R77" s="7" t="s">
        <v>1140</v>
      </c>
      <c r="S77" s="8" t="s">
        <v>1141</v>
      </c>
      <c r="T77" s="7"/>
      <c r="U77" t="str">
        <f t="shared" si="20"/>
        <v/>
      </c>
      <c r="V77">
        <f t="shared" si="21"/>
        <v>7.3029000000000002E-3</v>
      </c>
      <c r="W77" t="str">
        <f t="shared" si="22"/>
        <v/>
      </c>
      <c r="X77" t="str">
        <f t="shared" si="23"/>
        <v/>
      </c>
      <c r="Y77" t="str">
        <f>VLOOKUP($A77,Runs!$G:$G,1,FALSE)</f>
        <v>Kuban Cigars</v>
      </c>
    </row>
    <row r="78" spans="1:25" ht="22.5" customHeight="1" x14ac:dyDescent="0.3">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customHeight="1" x14ac:dyDescent="0.3">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customHeight="1" x14ac:dyDescent="0.3">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customHeight="1" x14ac:dyDescent="0.3">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customHeight="1" x14ac:dyDescent="0.3">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customHeight="1" x14ac:dyDescent="0.3">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t="str">
        <f t="shared" si="15"/>
        <v/>
      </c>
      <c r="K83" s="10">
        <f t="shared" si="16"/>
        <v>7.5053999999999997E-3</v>
      </c>
      <c r="L83" s="9">
        <f t="shared" si="17"/>
        <v>4.9924945999999997</v>
      </c>
      <c r="M83" s="9" t="str">
        <f t="shared" si="18"/>
        <v/>
      </c>
      <c r="N83" s="9">
        <f t="shared" si="19"/>
        <v>4.9924945999999997</v>
      </c>
      <c r="O83" s="4"/>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customHeight="1" x14ac:dyDescent="0.3">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customHeight="1" x14ac:dyDescent="0.3">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customHeight="1" x14ac:dyDescent="0.3">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customHeight="1" x14ac:dyDescent="0.3">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customHeight="1" x14ac:dyDescent="0.3">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customHeight="1" x14ac:dyDescent="0.3">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customHeight="1" x14ac:dyDescent="0.3">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customHeight="1" x14ac:dyDescent="0.3">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customHeight="1" x14ac:dyDescent="0.3">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customHeight="1" x14ac:dyDescent="0.3">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t="str">
        <f t="shared" si="15"/>
        <v/>
      </c>
      <c r="K93" s="10">
        <f t="shared" si="16"/>
        <v>8.4069000000000001E-3</v>
      </c>
      <c r="L93" s="9">
        <f t="shared" si="17"/>
        <v>3.9915930999999998</v>
      </c>
      <c r="M93" s="9" t="str">
        <f t="shared" si="18"/>
        <v/>
      </c>
      <c r="N93" s="9">
        <f t="shared" si="19"/>
        <v>3.9915930999999998</v>
      </c>
      <c r="O93" s="4"/>
      <c r="Q93" s="7" t="s">
        <v>1343</v>
      </c>
      <c r="R93" s="7" t="s">
        <v>1344</v>
      </c>
      <c r="S93" s="8" t="s">
        <v>1345</v>
      </c>
      <c r="T93" s="7"/>
      <c r="U93" t="str">
        <f t="shared" si="20"/>
        <v/>
      </c>
      <c r="V93" t="str">
        <f t="shared" si="21"/>
        <v/>
      </c>
      <c r="W93">
        <f t="shared" si="22"/>
        <v>8.4069000000000001E-3</v>
      </c>
      <c r="X93" t="str">
        <f t="shared" si="23"/>
        <v/>
      </c>
      <c r="Y93" t="str">
        <f>VLOOKUP($A93,Runs!$G:$G,1,FALSE)</f>
        <v>Holy Horder</v>
      </c>
    </row>
    <row r="94" spans="1:25" ht="22.5" customHeight="1" x14ac:dyDescent="0.3">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customHeight="1" x14ac:dyDescent="0.3">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customHeight="1" x14ac:dyDescent="0.3">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customHeight="1" x14ac:dyDescent="0.3">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customHeight="1" x14ac:dyDescent="0.3">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customHeight="1" x14ac:dyDescent="0.3">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customHeight="1" x14ac:dyDescent="0.3">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t="str">
        <f t="shared" si="15"/>
        <v/>
      </c>
      <c r="K100" s="10">
        <f t="shared" si="16"/>
        <v>8.3110000000000007E-3</v>
      </c>
      <c r="L100" s="9">
        <f t="shared" si="17"/>
        <v>2.991689</v>
      </c>
      <c r="M100" s="9" t="str">
        <f t="shared" si="18"/>
        <v/>
      </c>
      <c r="N100" s="9">
        <f t="shared" si="19"/>
        <v>2.991689</v>
      </c>
      <c r="O100" s="4"/>
      <c r="Q100" s="7" t="s">
        <v>1088</v>
      </c>
      <c r="R100" s="7" t="s">
        <v>1089</v>
      </c>
      <c r="S100" s="8" t="s">
        <v>1090</v>
      </c>
      <c r="T100" s="7"/>
      <c r="U100" t="str">
        <f t="shared" si="20"/>
        <v/>
      </c>
      <c r="V100">
        <f t="shared" si="21"/>
        <v>8.3110000000000007E-3</v>
      </c>
      <c r="W100" t="str">
        <f t="shared" si="22"/>
        <v/>
      </c>
      <c r="X100" t="str">
        <f t="shared" si="23"/>
        <v/>
      </c>
      <c r="Y100" t="str">
        <f>VLOOKUP($A100,Runs!$G:$G,1,FALSE)</f>
        <v>Don’t be Cilli</v>
      </c>
    </row>
    <row r="101" spans="1:25" ht="22.5" customHeight="1" x14ac:dyDescent="0.3">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customHeight="1" x14ac:dyDescent="0.3">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customHeight="1" x14ac:dyDescent="0.3">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customHeight="1" x14ac:dyDescent="0.3">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customHeight="1" x14ac:dyDescent="0.3">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customHeight="1" x14ac:dyDescent="0.3">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customHeight="1" x14ac:dyDescent="0.3">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t="str">
        <f t="shared" si="15"/>
        <v/>
      </c>
      <c r="K107" s="10">
        <f t="shared" si="16"/>
        <v>8.5039E-3</v>
      </c>
      <c r="L107" s="9">
        <f t="shared" si="17"/>
        <v>4.9914961</v>
      </c>
      <c r="M107" s="9" t="str">
        <f t="shared" si="18"/>
        <v/>
      </c>
      <c r="N107" s="9">
        <f t="shared" si="19"/>
        <v>4.9914961</v>
      </c>
      <c r="O107" s="4"/>
      <c r="Q107" s="7" t="s">
        <v>1464</v>
      </c>
      <c r="R107" s="8" t="s">
        <v>1465</v>
      </c>
      <c r="S107" s="7"/>
      <c r="T107" s="7"/>
      <c r="U107" t="str">
        <f t="shared" si="20"/>
        <v/>
      </c>
      <c r="V107" t="str">
        <f t="shared" si="21"/>
        <v/>
      </c>
      <c r="W107" t="str">
        <f t="shared" si="22"/>
        <v/>
      </c>
      <c r="X107" t="str">
        <f t="shared" si="23"/>
        <v/>
      </c>
      <c r="Y107" t="str">
        <f>VLOOKUP($A107,Runs!$G:$G,1,FALSE)</f>
        <v>Academical</v>
      </c>
    </row>
    <row r="108" spans="1:25" ht="22.5" customHeight="1" x14ac:dyDescent="0.3">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customHeight="1" x14ac:dyDescent="0.3">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customHeight="1" x14ac:dyDescent="0.3">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customHeight="1" x14ac:dyDescent="0.3">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customHeight="1" x14ac:dyDescent="0.3">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customHeight="1" x14ac:dyDescent="0.3">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customHeight="1" x14ac:dyDescent="0.3">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customHeight="1" x14ac:dyDescent="0.3">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customHeight="1" x14ac:dyDescent="0.3">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customHeight="1" x14ac:dyDescent="0.3">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customHeight="1" x14ac:dyDescent="0.3">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customHeight="1" x14ac:dyDescent="0.3">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customHeight="1" x14ac:dyDescent="0.3">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customHeight="1" x14ac:dyDescent="0.3">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customHeight="1" x14ac:dyDescent="0.3">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customHeight="1" x14ac:dyDescent="0.3">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customHeight="1" x14ac:dyDescent="0.3">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customHeight="1" x14ac:dyDescent="0.3">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customHeight="1" x14ac:dyDescent="0.3">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customHeight="1" x14ac:dyDescent="0.3">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customHeight="1" x14ac:dyDescent="0.3">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customHeight="1" x14ac:dyDescent="0.3">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customHeight="1" x14ac:dyDescent="0.3">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customHeight="1" x14ac:dyDescent="0.3">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customHeight="1" x14ac:dyDescent="0.3">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customHeight="1" x14ac:dyDescent="0.3">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customHeight="1" x14ac:dyDescent="0.3">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customHeight="1" x14ac:dyDescent="0.3">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customHeight="1" x14ac:dyDescent="0.3">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customHeight="1" x14ac:dyDescent="0.3">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customHeight="1" x14ac:dyDescent="0.3">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customHeight="1" x14ac:dyDescent="0.3">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customHeight="1" x14ac:dyDescent="0.3">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customHeight="1" x14ac:dyDescent="0.3">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customHeight="1" x14ac:dyDescent="0.3">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customHeight="1" x14ac:dyDescent="0.3">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customHeight="1" x14ac:dyDescent="0.3">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customHeight="1" x14ac:dyDescent="0.3">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customHeight="1" x14ac:dyDescent="0.3">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customHeight="1" x14ac:dyDescent="0.3">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customHeight="1" x14ac:dyDescent="0.3">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customHeight="1" x14ac:dyDescent="0.3">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customHeight="1" x14ac:dyDescent="0.3">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customHeight="1" x14ac:dyDescent="0.3">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customHeight="1" x14ac:dyDescent="0.3">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customHeight="1" x14ac:dyDescent="0.3">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customHeight="1" x14ac:dyDescent="0.3">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customHeight="1" x14ac:dyDescent="0.3">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customHeight="1" x14ac:dyDescent="0.3">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customHeight="1" x14ac:dyDescent="0.3">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customHeight="1" x14ac:dyDescent="0.3">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customHeight="1" x14ac:dyDescent="0.3">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customHeight="1" x14ac:dyDescent="0.3">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customHeight="1" x14ac:dyDescent="0.3">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customHeight="1" x14ac:dyDescent="0.3">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customHeight="1" x14ac:dyDescent="0.3">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customHeight="1" x14ac:dyDescent="0.3">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customHeight="1" x14ac:dyDescent="0.3">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customHeight="1" x14ac:dyDescent="0.3">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customHeight="1" x14ac:dyDescent="0.3">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customHeight="1" x14ac:dyDescent="0.3">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customHeight="1" x14ac:dyDescent="0.3">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customHeight="1" x14ac:dyDescent="0.3">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customHeight="1" x14ac:dyDescent="0.3">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customHeight="1" x14ac:dyDescent="0.3">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customHeight="1" x14ac:dyDescent="0.3">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customHeight="1" x14ac:dyDescent="0.3">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customHeight="1" x14ac:dyDescent="0.3">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t="str">
        <f t="shared" si="27"/>
        <v/>
      </c>
      <c r="K175" s="10">
        <f t="shared" si="28"/>
        <v>1.33043E-2</v>
      </c>
      <c r="L175" s="9">
        <f t="shared" si="29"/>
        <v>2.9866956999999998</v>
      </c>
      <c r="M175" s="9" t="str">
        <f t="shared" si="30"/>
        <v/>
      </c>
      <c r="N175" s="9">
        <f t="shared" si="31"/>
        <v>2.9866956999999998</v>
      </c>
      <c r="O175" s="4"/>
      <c r="Q175" s="7" t="s">
        <v>1118</v>
      </c>
      <c r="R175" s="8" t="s">
        <v>1119</v>
      </c>
      <c r="S175" s="7"/>
      <c r="T175" s="7"/>
      <c r="U175" t="str">
        <f t="shared" si="32"/>
        <v/>
      </c>
      <c r="V175">
        <f t="shared" si="33"/>
        <v>1.33043E-2</v>
      </c>
      <c r="W175" t="str">
        <f t="shared" si="34"/>
        <v/>
      </c>
      <c r="X175" t="str">
        <f t="shared" si="35"/>
        <v/>
      </c>
      <c r="Y175" t="str">
        <f>VLOOKUP($A175,Runs!$G:$G,1,FALSE)</f>
        <v>Hessian Mercenaries</v>
      </c>
    </row>
    <row r="176" spans="1:25" ht="22.5" customHeight="1" x14ac:dyDescent="0.3">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customHeight="1" x14ac:dyDescent="0.3">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customHeight="1" x14ac:dyDescent="0.3">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customHeight="1" x14ac:dyDescent="0.3">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customHeight="1" x14ac:dyDescent="0.3">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customHeight="1" x14ac:dyDescent="0.3">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customHeight="1" x14ac:dyDescent="0.3">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customHeight="1" x14ac:dyDescent="0.3">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customHeight="1" x14ac:dyDescent="0.3">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customHeight="1" x14ac:dyDescent="0.3">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customHeight="1" x14ac:dyDescent="0.3">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customHeight="1" x14ac:dyDescent="0.3">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customHeight="1" x14ac:dyDescent="0.3">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customHeight="1" x14ac:dyDescent="0.3">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customHeight="1" x14ac:dyDescent="0.3">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customHeight="1" x14ac:dyDescent="0.3">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customHeight="1" x14ac:dyDescent="0.3">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customHeight="1" x14ac:dyDescent="0.3">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customHeight="1" x14ac:dyDescent="0.3">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customHeight="1" x14ac:dyDescent="0.3">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customHeight="1" x14ac:dyDescent="0.3">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customHeight="1" x14ac:dyDescent="0.3">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customHeight="1" x14ac:dyDescent="0.3">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customHeight="1" x14ac:dyDescent="0.3">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customHeight="1" x14ac:dyDescent="0.3">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customHeight="1" x14ac:dyDescent="0.3">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customHeight="1" x14ac:dyDescent="0.3">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customHeight="1" x14ac:dyDescent="0.3">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customHeight="1" x14ac:dyDescent="0.3">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customHeight="1" x14ac:dyDescent="0.3">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customHeight="1" x14ac:dyDescent="0.3">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customHeight="1" x14ac:dyDescent="0.3">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customHeight="1" x14ac:dyDescent="0.3">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customHeight="1" x14ac:dyDescent="0.3">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customHeight="1" x14ac:dyDescent="0.3">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customHeight="1" x14ac:dyDescent="0.3">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customHeight="1" x14ac:dyDescent="0.3">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customHeight="1" x14ac:dyDescent="0.3">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customHeight="1" x14ac:dyDescent="0.3">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customHeight="1" x14ac:dyDescent="0.3">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customHeight="1" x14ac:dyDescent="0.3">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customHeight="1" x14ac:dyDescent="0.3">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t="str">
        <f t="shared" si="39"/>
        <v/>
      </c>
      <c r="K217" s="10">
        <f t="shared" si="40"/>
        <v>1.8107599999999998E-2</v>
      </c>
      <c r="L217" s="9">
        <f t="shared" si="41"/>
        <v>0.9818924</v>
      </c>
      <c r="M217" s="9" t="str">
        <f t="shared" si="42"/>
        <v/>
      </c>
      <c r="N217" s="9">
        <f t="shared" si="43"/>
        <v>0.9818924</v>
      </c>
      <c r="O217" s="4"/>
      <c r="Q217" s="7"/>
      <c r="R217" s="7" t="s">
        <v>818</v>
      </c>
      <c r="S217" s="8" t="s">
        <v>819</v>
      </c>
      <c r="T217" s="7"/>
      <c r="U217" t="str">
        <f t="shared" si="44"/>
        <v/>
      </c>
      <c r="V217" t="str">
        <f t="shared" si="45"/>
        <v/>
      </c>
      <c r="W217" t="str">
        <f t="shared" si="46"/>
        <v/>
      </c>
      <c r="X217">
        <f t="shared" si="47"/>
        <v>1.8107599999999998E-2</v>
      </c>
      <c r="Y217" t="str">
        <f>VLOOKUP($A217,Runs!$G:$G,1,FALSE)</f>
        <v>Krabater</v>
      </c>
    </row>
    <row r="218" spans="1:25" ht="22.5" customHeight="1" x14ac:dyDescent="0.3">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customHeight="1" x14ac:dyDescent="0.3">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customHeight="1" x14ac:dyDescent="0.3">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customHeight="1" x14ac:dyDescent="0.3">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customHeight="1" x14ac:dyDescent="0.3">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customHeight="1" x14ac:dyDescent="0.3">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customHeight="1" x14ac:dyDescent="0.3">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customHeight="1" x14ac:dyDescent="0.3">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customHeight="1" x14ac:dyDescent="0.3">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t="str">
        <f t="shared" si="39"/>
        <v/>
      </c>
      <c r="K226" s="10">
        <f t="shared" si="40"/>
        <v>2.1400400000000003E-2</v>
      </c>
      <c r="L226" s="9">
        <f t="shared" si="41"/>
        <v>3.9785995999999999</v>
      </c>
      <c r="M226" s="9" t="str">
        <f t="shared" si="42"/>
        <v/>
      </c>
      <c r="N226" s="9">
        <f t="shared" si="43"/>
        <v>3.9785995999999999</v>
      </c>
      <c r="O226" s="4"/>
      <c r="Q226" s="7" t="s">
        <v>1364</v>
      </c>
      <c r="R226" s="7" t="s">
        <v>1365</v>
      </c>
      <c r="S226" s="8" t="s">
        <v>1366</v>
      </c>
      <c r="T226" s="7"/>
      <c r="U226" t="str">
        <f t="shared" si="44"/>
        <v/>
      </c>
      <c r="V226" t="str">
        <f t="shared" si="45"/>
        <v/>
      </c>
      <c r="W226">
        <f t="shared" si="46"/>
        <v>2.1400400000000003E-2</v>
      </c>
      <c r="X226" t="str">
        <f t="shared" si="47"/>
        <v/>
      </c>
      <c r="Y226" t="str">
        <f>VLOOKUP($A226,Runs!$G:$G,1,FALSE)</f>
        <v>Luck of the Irish</v>
      </c>
    </row>
    <row r="227" spans="1:25" ht="22.5" customHeight="1" x14ac:dyDescent="0.3">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customHeight="1" x14ac:dyDescent="0.3">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customHeight="1" x14ac:dyDescent="0.3">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customHeight="1" x14ac:dyDescent="0.3">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customHeight="1" x14ac:dyDescent="0.3">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customHeight="1" x14ac:dyDescent="0.3">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customHeight="1" x14ac:dyDescent="0.3">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customHeight="1" x14ac:dyDescent="0.3">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customHeight="1" x14ac:dyDescent="0.3">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t="str">
        <f t="shared" si="39"/>
        <v/>
      </c>
      <c r="K235" s="10">
        <f t="shared" si="40"/>
        <v>2.3304100000000001E-2</v>
      </c>
      <c r="L235" s="9">
        <f t="shared" si="41"/>
        <v>2.9766959000000002</v>
      </c>
      <c r="M235" s="9" t="str">
        <f t="shared" si="42"/>
        <v/>
      </c>
      <c r="N235" s="9">
        <f t="shared" si="43"/>
        <v>2.9766959000000002</v>
      </c>
      <c r="O235" s="4"/>
      <c r="Q235" s="7"/>
      <c r="R235" s="8" t="s">
        <v>1091</v>
      </c>
      <c r="S235" s="7"/>
      <c r="T235" s="7" t="s">
        <v>770</v>
      </c>
      <c r="U235" t="str">
        <f t="shared" si="44"/>
        <v/>
      </c>
      <c r="V235">
        <f t="shared" si="45"/>
        <v>2.3304100000000001E-2</v>
      </c>
      <c r="W235" t="str">
        <f t="shared" si="46"/>
        <v/>
      </c>
      <c r="X235" t="str">
        <f t="shared" si="47"/>
        <v/>
      </c>
      <c r="Y235" t="e">
        <f>VLOOKUP($A235,Runs!$G:$G,1,FALSE)</f>
        <v>#N/A</v>
      </c>
    </row>
    <row r="236" spans="1:25" ht="22.5" customHeight="1" x14ac:dyDescent="0.3">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customHeight="1" x14ac:dyDescent="0.3">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customHeight="1" x14ac:dyDescent="0.3">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customHeight="1" x14ac:dyDescent="0.3">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customHeight="1" x14ac:dyDescent="0.3">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customHeight="1" x14ac:dyDescent="0.3">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customHeight="1" x14ac:dyDescent="0.3">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customHeight="1" x14ac:dyDescent="0.3">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customHeight="1" x14ac:dyDescent="0.3">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customHeight="1" x14ac:dyDescent="0.3">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customHeight="1" x14ac:dyDescent="0.3">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customHeight="1" x14ac:dyDescent="0.3">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customHeight="1" x14ac:dyDescent="0.3">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customHeight="1" x14ac:dyDescent="0.3">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customHeight="1" x14ac:dyDescent="0.3">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customHeight="1" x14ac:dyDescent="0.3">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customHeight="1" x14ac:dyDescent="0.3">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customHeight="1" x14ac:dyDescent="0.3">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customHeight="1" x14ac:dyDescent="0.3">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customHeight="1" x14ac:dyDescent="0.3">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customHeight="1" x14ac:dyDescent="0.3">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customHeight="1" x14ac:dyDescent="0.3">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customHeight="1" x14ac:dyDescent="0.3">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customHeight="1" x14ac:dyDescent="0.3">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customHeight="1" x14ac:dyDescent="0.3">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customHeight="1" x14ac:dyDescent="0.3">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customHeight="1" x14ac:dyDescent="0.3">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customHeight="1" x14ac:dyDescent="0.3">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customHeight="1" x14ac:dyDescent="0.3">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customHeight="1" x14ac:dyDescent="0.3">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customHeight="1" x14ac:dyDescent="0.3">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customHeight="1" x14ac:dyDescent="0.3">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customHeight="1" x14ac:dyDescent="0.3">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customHeight="1" x14ac:dyDescent="0.3">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customHeight="1" x14ac:dyDescent="0.3">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customHeight="1" x14ac:dyDescent="0.3">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customHeight="1" x14ac:dyDescent="0.3">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customHeight="1" x14ac:dyDescent="0.3">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customHeight="1" x14ac:dyDescent="0.3">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customHeight="1" x14ac:dyDescent="0.3">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customHeight="1" x14ac:dyDescent="0.3">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customHeight="1" x14ac:dyDescent="0.3">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customHeight="1" x14ac:dyDescent="0.3">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customHeight="1" x14ac:dyDescent="0.3">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customHeight="1" x14ac:dyDescent="0.3">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customHeight="1" x14ac:dyDescent="0.3">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customHeight="1" x14ac:dyDescent="0.3">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customHeight="1" x14ac:dyDescent="0.3">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customHeight="1" x14ac:dyDescent="0.3">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customHeight="1" x14ac:dyDescent="0.3">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customHeight="1" x14ac:dyDescent="0.3">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customHeight="1" x14ac:dyDescent="0.3">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customHeight="1" x14ac:dyDescent="0.3">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customHeight="1" x14ac:dyDescent="0.3">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customHeight="1" x14ac:dyDescent="0.3">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customHeight="1" x14ac:dyDescent="0.3">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customHeight="1" x14ac:dyDescent="0.3">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customHeight="1" x14ac:dyDescent="0.3">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customHeight="1" x14ac:dyDescent="0.3">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customHeight="1" x14ac:dyDescent="0.3">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customHeight="1" x14ac:dyDescent="0.3">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customHeight="1" x14ac:dyDescent="0.3">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customHeight="1" x14ac:dyDescent="0.3">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customHeight="1" x14ac:dyDescent="0.3">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customHeight="1" x14ac:dyDescent="0.3">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customHeight="1" x14ac:dyDescent="0.3">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customHeight="1" x14ac:dyDescent="0.3">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customHeight="1" x14ac:dyDescent="0.3">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customHeight="1" x14ac:dyDescent="0.3">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customHeight="1" x14ac:dyDescent="0.3">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customHeight="1" x14ac:dyDescent="0.3">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customHeight="1" x14ac:dyDescent="0.3">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customHeight="1" x14ac:dyDescent="0.3">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customHeight="1" x14ac:dyDescent="0.3">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customHeight="1" x14ac:dyDescent="0.3">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customHeight="1" x14ac:dyDescent="0.3">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customHeight="1" x14ac:dyDescent="0.3">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customHeight="1" x14ac:dyDescent="0.3">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customHeight="1" x14ac:dyDescent="0.3">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customHeight="1" x14ac:dyDescent="0.3">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customHeight="1" x14ac:dyDescent="0.3">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customHeight="1" x14ac:dyDescent="0.3">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customHeight="1" x14ac:dyDescent="0.3">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customHeight="1" x14ac:dyDescent="0.3">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customHeight="1" x14ac:dyDescent="0.3">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customHeight="1" x14ac:dyDescent="0.3">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customHeight="1" x14ac:dyDescent="0.3">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customHeight="1" x14ac:dyDescent="0.3">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customHeight="1" x14ac:dyDescent="0.3">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customHeight="1" x14ac:dyDescent="0.3">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customHeight="1" x14ac:dyDescent="0.3">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customHeight="1" x14ac:dyDescent="0.3">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customHeight="1" x14ac:dyDescent="0.3">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customHeight="1" x14ac:dyDescent="0.3">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customHeight="1" x14ac:dyDescent="0.3">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customHeight="1" x14ac:dyDescent="0.3">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customHeight="1" x14ac:dyDescent="0.3">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customHeight="1" x14ac:dyDescent="0.3">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customHeight="1" x14ac:dyDescent="0.3">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customHeight="1" x14ac:dyDescent="0.3">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customHeight="1" x14ac:dyDescent="0.3">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customHeight="1" x14ac:dyDescent="0.3">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customHeight="1" x14ac:dyDescent="0.3">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customHeight="1" x14ac:dyDescent="0.3">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customHeight="1" x14ac:dyDescent="0.3">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customHeight="1" x14ac:dyDescent="0.3">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customHeight="1" x14ac:dyDescent="0.3">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customHeight="1" x14ac:dyDescent="0.3">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customHeight="1" x14ac:dyDescent="0.3">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customHeight="1" x14ac:dyDescent="0.3">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customHeight="1" x14ac:dyDescent="0.3">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customHeight="1" x14ac:dyDescent="0.3">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customHeight="1" x14ac:dyDescent="0.3">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customHeight="1" x14ac:dyDescent="0.3">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customHeight="1" x14ac:dyDescent="0.3">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customHeight="1" x14ac:dyDescent="0.3">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customHeight="1" x14ac:dyDescent="0.3">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customHeight="1" x14ac:dyDescent="0.3">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customHeight="1" x14ac:dyDescent="0.3">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customHeight="1" x14ac:dyDescent="0.3">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customHeight="1" x14ac:dyDescent="0.3">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customHeight="1" x14ac:dyDescent="0.3">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customHeight="1" x14ac:dyDescent="0.3">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customHeight="1" x14ac:dyDescent="0.3">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customHeight="1" x14ac:dyDescent="0.3">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customHeight="1" x14ac:dyDescent="0.3">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customHeight="1" x14ac:dyDescent="0.3">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customHeight="1" x14ac:dyDescent="0.3">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customHeight="1" x14ac:dyDescent="0.3">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customHeight="1" x14ac:dyDescent="0.3">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customHeight="1" x14ac:dyDescent="0.3">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customHeight="1" x14ac:dyDescent="0.3">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customHeight="1" x14ac:dyDescent="0.3">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customHeight="1" x14ac:dyDescent="0.3">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customHeight="1" x14ac:dyDescent="0.3">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customHeight="1" x14ac:dyDescent="0.3">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customHeight="1" x14ac:dyDescent="0.3">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customHeight="1" x14ac:dyDescent="0.3">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customHeight="1" x14ac:dyDescent="0.3">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4.4" x14ac:dyDescent="0.3"/>
  <cols>
    <col min="1" max="1" width="22" style="35" bestFit="1" customWidth="1"/>
    <col min="2" max="2" width="22" style="1" customWidth="1"/>
    <col min="3" max="3" width="28.6640625" bestFit="1" customWidth="1"/>
    <col min="4" max="4" width="112.44140625" customWidth="1"/>
    <col min="5" max="5" width="24.6640625" customWidth="1"/>
    <col min="6" max="6" width="125.44140625" customWidth="1"/>
  </cols>
  <sheetData>
    <row r="1" spans="1:6" x14ac:dyDescent="0.3">
      <c r="A1" s="33" t="s">
        <v>1747</v>
      </c>
      <c r="B1" s="34" t="s">
        <v>1818</v>
      </c>
      <c r="C1" s="32" t="s">
        <v>1819</v>
      </c>
      <c r="D1" s="32" t="s">
        <v>1820</v>
      </c>
      <c r="E1" s="32" t="s">
        <v>1821</v>
      </c>
      <c r="F1" s="32" t="s">
        <v>1820</v>
      </c>
    </row>
    <row r="2" spans="1:6" x14ac:dyDescent="0.3">
      <c r="A2" s="35" t="s">
        <v>1713</v>
      </c>
      <c r="B2" s="4" t="s">
        <v>1822</v>
      </c>
      <c r="C2" s="2"/>
    </row>
    <row r="3" spans="1:6" x14ac:dyDescent="0.3">
      <c r="A3" s="35" t="s">
        <v>1714</v>
      </c>
      <c r="B3" s="4" t="s">
        <v>1822</v>
      </c>
      <c r="E3" s="2" t="s">
        <v>558</v>
      </c>
      <c r="F3" s="2" t="s">
        <v>559</v>
      </c>
    </row>
    <row r="4" spans="1:6" x14ac:dyDescent="0.3">
      <c r="A4" s="35" t="s">
        <v>1715</v>
      </c>
      <c r="B4" s="4" t="s">
        <v>1822</v>
      </c>
    </row>
    <row r="5" spans="1:6" x14ac:dyDescent="0.3">
      <c r="A5" s="35" t="s">
        <v>1748</v>
      </c>
      <c r="B5" s="4" t="s">
        <v>1823</v>
      </c>
    </row>
    <row r="6" spans="1:6" x14ac:dyDescent="0.3">
      <c r="A6" s="35" t="s">
        <v>1716</v>
      </c>
      <c r="B6" s="4" t="s">
        <v>1822</v>
      </c>
    </row>
    <row r="7" spans="1:6" x14ac:dyDescent="0.3">
      <c r="A7" s="35" t="s">
        <v>1749</v>
      </c>
      <c r="B7" s="4" t="s">
        <v>1823</v>
      </c>
    </row>
    <row r="8" spans="1:6" x14ac:dyDescent="0.3">
      <c r="A8" s="35" t="s">
        <v>1717</v>
      </c>
      <c r="B8" s="4" t="s">
        <v>1822</v>
      </c>
      <c r="E8" s="2" t="s">
        <v>456</v>
      </c>
      <c r="F8" s="2" t="s">
        <v>457</v>
      </c>
    </row>
    <row r="9" spans="1:6" x14ac:dyDescent="0.3">
      <c r="A9" s="35" t="s">
        <v>1675</v>
      </c>
      <c r="B9" s="4" t="s">
        <v>1823</v>
      </c>
      <c r="E9" s="2" t="s">
        <v>566</v>
      </c>
      <c r="F9" s="2" t="s">
        <v>1824</v>
      </c>
    </row>
    <row r="10" spans="1:6" x14ac:dyDescent="0.3">
      <c r="A10" s="35" t="s">
        <v>1750</v>
      </c>
      <c r="B10" s="4" t="s">
        <v>1823</v>
      </c>
      <c r="E10" s="2" t="s">
        <v>511</v>
      </c>
      <c r="F10" s="2" t="s">
        <v>512</v>
      </c>
    </row>
    <row r="11" spans="1:6" x14ac:dyDescent="0.3">
      <c r="A11" s="35" t="s">
        <v>1718</v>
      </c>
      <c r="B11" s="4" t="s">
        <v>1822</v>
      </c>
    </row>
    <row r="12" spans="1:6" x14ac:dyDescent="0.3">
      <c r="A12" s="35" t="s">
        <v>1719</v>
      </c>
      <c r="B12" s="4" t="s">
        <v>1822</v>
      </c>
    </row>
    <row r="13" spans="1:6" x14ac:dyDescent="0.3">
      <c r="A13" s="35" t="s">
        <v>1751</v>
      </c>
      <c r="B13" s="4" t="s">
        <v>1823</v>
      </c>
    </row>
    <row r="14" spans="1:6" x14ac:dyDescent="0.3">
      <c r="A14" s="35" t="s">
        <v>1752</v>
      </c>
      <c r="B14" s="4" t="s">
        <v>1823</v>
      </c>
    </row>
    <row r="15" spans="1:6" x14ac:dyDescent="0.3">
      <c r="A15" s="35" t="s">
        <v>1689</v>
      </c>
      <c r="B15" s="4" t="s">
        <v>1822</v>
      </c>
    </row>
    <row r="16" spans="1:6" x14ac:dyDescent="0.3">
      <c r="A16" s="35" t="s">
        <v>1720</v>
      </c>
      <c r="B16" s="4" t="s">
        <v>1822</v>
      </c>
    </row>
    <row r="17" spans="1:6" x14ac:dyDescent="0.3">
      <c r="A17" s="35" t="s">
        <v>1721</v>
      </c>
      <c r="B17" s="4" t="s">
        <v>1822</v>
      </c>
      <c r="E17" s="2" t="s">
        <v>368</v>
      </c>
      <c r="F17" s="2" t="s">
        <v>369</v>
      </c>
    </row>
    <row r="18" spans="1:6" x14ac:dyDescent="0.3">
      <c r="A18" s="35" t="s">
        <v>1753</v>
      </c>
      <c r="B18" s="4" t="s">
        <v>1823</v>
      </c>
      <c r="C18" s="2" t="s">
        <v>36</v>
      </c>
      <c r="D18" s="2" t="s">
        <v>37</v>
      </c>
    </row>
    <row r="19" spans="1:6" x14ac:dyDescent="0.3">
      <c r="A19" s="35" t="s">
        <v>1754</v>
      </c>
      <c r="B19" s="4" t="s">
        <v>1823</v>
      </c>
      <c r="E19" s="2" t="s">
        <v>248</v>
      </c>
      <c r="F19" s="2" t="s">
        <v>249</v>
      </c>
    </row>
    <row r="20" spans="1:6" x14ac:dyDescent="0.3">
      <c r="A20" s="35" t="s">
        <v>1755</v>
      </c>
      <c r="B20" s="4" t="s">
        <v>1823</v>
      </c>
    </row>
    <row r="21" spans="1:6" x14ac:dyDescent="0.3">
      <c r="A21" s="35" t="s">
        <v>1756</v>
      </c>
      <c r="B21" s="4" t="s">
        <v>1823</v>
      </c>
    </row>
    <row r="22" spans="1:6" x14ac:dyDescent="0.3">
      <c r="A22" s="35" t="s">
        <v>1757</v>
      </c>
      <c r="B22" s="4" t="s">
        <v>1823</v>
      </c>
      <c r="E22" s="2" t="s">
        <v>466</v>
      </c>
      <c r="F22" s="2" t="s">
        <v>467</v>
      </c>
    </row>
    <row r="23" spans="1:6" ht="39.6" x14ac:dyDescent="0.3">
      <c r="A23" s="35" t="s">
        <v>1758</v>
      </c>
      <c r="B23" s="4" t="s">
        <v>1823</v>
      </c>
      <c r="E23" s="2" t="s">
        <v>1909</v>
      </c>
      <c r="F23" s="2" t="s">
        <v>1910</v>
      </c>
    </row>
    <row r="24" spans="1:6" x14ac:dyDescent="0.3">
      <c r="A24" s="35" t="s">
        <v>1759</v>
      </c>
      <c r="B24" s="4" t="s">
        <v>1823</v>
      </c>
    </row>
    <row r="25" spans="1:6" x14ac:dyDescent="0.3">
      <c r="A25" s="35" t="s">
        <v>1684</v>
      </c>
      <c r="B25" s="4" t="s">
        <v>1823</v>
      </c>
      <c r="E25" s="2" t="s">
        <v>386</v>
      </c>
      <c r="F25" s="2" t="s">
        <v>1825</v>
      </c>
    </row>
    <row r="26" spans="1:6" x14ac:dyDescent="0.3">
      <c r="A26" s="35" t="s">
        <v>1722</v>
      </c>
      <c r="B26" s="4" t="s">
        <v>1822</v>
      </c>
      <c r="E26" s="2" t="s">
        <v>606</v>
      </c>
      <c r="F26" s="2" t="s">
        <v>607</v>
      </c>
    </row>
    <row r="27" spans="1:6" x14ac:dyDescent="0.3">
      <c r="A27" s="35" t="s">
        <v>1826</v>
      </c>
      <c r="B27" s="4" t="s">
        <v>1822</v>
      </c>
      <c r="E27" s="2" t="s">
        <v>505</v>
      </c>
      <c r="F27" s="2" t="s">
        <v>1827</v>
      </c>
    </row>
    <row r="28" spans="1:6" x14ac:dyDescent="0.3">
      <c r="A28" s="35" t="s">
        <v>1676</v>
      </c>
      <c r="B28" s="4" t="s">
        <v>1822</v>
      </c>
    </row>
    <row r="29" spans="1:6" x14ac:dyDescent="0.3">
      <c r="A29" s="35" t="s">
        <v>1760</v>
      </c>
      <c r="B29" s="4" t="s">
        <v>1823</v>
      </c>
    </row>
    <row r="30" spans="1:6" x14ac:dyDescent="0.3">
      <c r="A30" s="35" t="s">
        <v>756</v>
      </c>
      <c r="B30" s="4" t="s">
        <v>1823</v>
      </c>
      <c r="C30" s="2" t="s">
        <v>621</v>
      </c>
      <c r="D30" s="2" t="s">
        <v>1828</v>
      </c>
    </row>
    <row r="31" spans="1:6" x14ac:dyDescent="0.3">
      <c r="A31" s="35" t="s">
        <v>1723</v>
      </c>
      <c r="B31" s="4" t="s">
        <v>1822</v>
      </c>
      <c r="C31" s="2" t="s">
        <v>404</v>
      </c>
      <c r="D31" s="2" t="s">
        <v>1829</v>
      </c>
    </row>
    <row r="32" spans="1:6" x14ac:dyDescent="0.3">
      <c r="A32" s="35" t="s">
        <v>1761</v>
      </c>
      <c r="B32" s="4" t="s">
        <v>1823</v>
      </c>
    </row>
    <row r="33" spans="1:6" x14ac:dyDescent="0.3">
      <c r="A33" s="35" t="s">
        <v>1724</v>
      </c>
      <c r="B33" s="4" t="s">
        <v>1822</v>
      </c>
    </row>
    <row r="34" spans="1:6" x14ac:dyDescent="0.3">
      <c r="A34" s="35" t="s">
        <v>289</v>
      </c>
      <c r="B34" s="4" t="s">
        <v>1823</v>
      </c>
      <c r="E34" s="2" t="s">
        <v>289</v>
      </c>
      <c r="F34" s="2" t="s">
        <v>290</v>
      </c>
    </row>
    <row r="35" spans="1:6" x14ac:dyDescent="0.3">
      <c r="A35" s="35" t="s">
        <v>1762</v>
      </c>
      <c r="B35" s="4" t="s">
        <v>1823</v>
      </c>
    </row>
    <row r="36" spans="1:6" x14ac:dyDescent="0.3">
      <c r="A36" s="35" t="s">
        <v>1763</v>
      </c>
      <c r="B36" s="4" t="s">
        <v>1823</v>
      </c>
    </row>
    <row r="37" spans="1:6" x14ac:dyDescent="0.3">
      <c r="A37" s="35" t="s">
        <v>1764</v>
      </c>
      <c r="B37" s="4" t="s">
        <v>1823</v>
      </c>
    </row>
    <row r="38" spans="1:6" x14ac:dyDescent="0.3">
      <c r="A38" s="35" t="s">
        <v>1765</v>
      </c>
      <c r="B38" s="4" t="s">
        <v>1823</v>
      </c>
    </row>
    <row r="39" spans="1:6" x14ac:dyDescent="0.3">
      <c r="A39" s="35" t="s">
        <v>1725</v>
      </c>
      <c r="B39" s="4" t="s">
        <v>1822</v>
      </c>
    </row>
    <row r="40" spans="1:6" x14ac:dyDescent="0.3">
      <c r="A40" s="35" t="s">
        <v>1726</v>
      </c>
      <c r="B40" s="4" t="s">
        <v>1822</v>
      </c>
    </row>
    <row r="41" spans="1:6" x14ac:dyDescent="0.3">
      <c r="A41" s="35" t="s">
        <v>1710</v>
      </c>
      <c r="B41" s="4" t="s">
        <v>1823</v>
      </c>
    </row>
    <row r="42" spans="1:6" x14ac:dyDescent="0.3">
      <c r="A42" s="35" t="s">
        <v>1766</v>
      </c>
      <c r="B42" s="4" t="s">
        <v>1823</v>
      </c>
    </row>
    <row r="43" spans="1:6" x14ac:dyDescent="0.3">
      <c r="A43" s="35" t="s">
        <v>1767</v>
      </c>
      <c r="B43" s="4" t="s">
        <v>1823</v>
      </c>
    </row>
    <row r="44" spans="1:6" ht="28.8" x14ac:dyDescent="0.3">
      <c r="A44" s="35" t="s">
        <v>1768</v>
      </c>
      <c r="B44" s="4" t="s">
        <v>1823</v>
      </c>
      <c r="C44" s="2" t="s">
        <v>1830</v>
      </c>
      <c r="D44" s="36" t="s">
        <v>1831</v>
      </c>
      <c r="E44" s="2" t="s">
        <v>619</v>
      </c>
      <c r="F44" s="2" t="s">
        <v>1832</v>
      </c>
    </row>
    <row r="45" spans="1:6" x14ac:dyDescent="0.3">
      <c r="A45" s="35" t="s">
        <v>1769</v>
      </c>
      <c r="B45" s="4" t="s">
        <v>1823</v>
      </c>
    </row>
    <row r="46" spans="1:6" x14ac:dyDescent="0.3">
      <c r="A46" s="35" t="s">
        <v>1770</v>
      </c>
      <c r="B46" s="4" t="s">
        <v>1823</v>
      </c>
    </row>
    <row r="47" spans="1:6" x14ac:dyDescent="0.3">
      <c r="A47" s="35" t="s">
        <v>1727</v>
      </c>
      <c r="B47" s="4" t="s">
        <v>1822</v>
      </c>
    </row>
    <row r="48" spans="1:6" x14ac:dyDescent="0.3">
      <c r="A48" s="35" t="s">
        <v>1728</v>
      </c>
      <c r="B48" s="4" t="s">
        <v>1822</v>
      </c>
      <c r="C48" s="2" t="s">
        <v>413</v>
      </c>
      <c r="D48" s="2" t="s">
        <v>1833</v>
      </c>
    </row>
    <row r="49" spans="1:6" x14ac:dyDescent="0.3">
      <c r="A49" s="35" t="s">
        <v>1771</v>
      </c>
      <c r="B49" s="4" t="s">
        <v>1823</v>
      </c>
    </row>
    <row r="50" spans="1:6" x14ac:dyDescent="0.3">
      <c r="A50" s="35" t="s">
        <v>1772</v>
      </c>
      <c r="B50" s="4" t="s">
        <v>1823</v>
      </c>
    </row>
    <row r="51" spans="1:6" x14ac:dyDescent="0.3">
      <c r="A51" s="35" t="s">
        <v>765</v>
      </c>
      <c r="B51" s="4" t="s">
        <v>1823</v>
      </c>
    </row>
    <row r="52" spans="1:6" x14ac:dyDescent="0.3">
      <c r="A52" s="35" t="s">
        <v>1773</v>
      </c>
      <c r="B52" s="4" t="s">
        <v>1823</v>
      </c>
    </row>
    <row r="53" spans="1:6" x14ac:dyDescent="0.3">
      <c r="A53" s="35" t="s">
        <v>1777</v>
      </c>
      <c r="B53" s="4" t="s">
        <v>1823</v>
      </c>
    </row>
    <row r="54" spans="1:6" x14ac:dyDescent="0.3">
      <c r="A54" s="35" t="s">
        <v>1774</v>
      </c>
      <c r="B54" s="4" t="s">
        <v>1823</v>
      </c>
    </row>
    <row r="55" spans="1:6" x14ac:dyDescent="0.3">
      <c r="A55" s="35" t="s">
        <v>1775</v>
      </c>
      <c r="B55" s="4" t="s">
        <v>1823</v>
      </c>
    </row>
    <row r="56" spans="1:6" x14ac:dyDescent="0.3">
      <c r="A56" s="35" t="s">
        <v>1776</v>
      </c>
      <c r="B56" s="4" t="s">
        <v>1823</v>
      </c>
      <c r="E56" s="2" t="s">
        <v>451</v>
      </c>
      <c r="F56" s="2" t="s">
        <v>1834</v>
      </c>
    </row>
    <row r="57" spans="1:6" x14ac:dyDescent="0.3">
      <c r="A57" s="35" t="s">
        <v>1729</v>
      </c>
      <c r="B57" s="4" t="s">
        <v>1822</v>
      </c>
    </row>
    <row r="58" spans="1:6" x14ac:dyDescent="0.3">
      <c r="A58" s="35" t="s">
        <v>1778</v>
      </c>
      <c r="B58" s="4" t="s">
        <v>1823</v>
      </c>
    </row>
    <row r="59" spans="1:6" x14ac:dyDescent="0.3">
      <c r="A59" s="35" t="s">
        <v>1779</v>
      </c>
      <c r="B59" s="4" t="s">
        <v>1823</v>
      </c>
    </row>
    <row r="60" spans="1:6" x14ac:dyDescent="0.3">
      <c r="A60" s="35" t="s">
        <v>1780</v>
      </c>
      <c r="B60" s="4" t="s">
        <v>1823</v>
      </c>
      <c r="C60" s="2" t="s">
        <v>256</v>
      </c>
      <c r="D60" s="2" t="s">
        <v>257</v>
      </c>
    </row>
    <row r="61" spans="1:6" ht="26.4" x14ac:dyDescent="0.3">
      <c r="A61" s="35" t="s">
        <v>1781</v>
      </c>
      <c r="B61" s="4" t="s">
        <v>1823</v>
      </c>
      <c r="E61" s="2" t="s">
        <v>1835</v>
      </c>
      <c r="F61" s="2" t="s">
        <v>1836</v>
      </c>
    </row>
    <row r="62" spans="1:6" x14ac:dyDescent="0.3">
      <c r="A62" s="35" t="s">
        <v>1782</v>
      </c>
      <c r="B62" s="4" t="s">
        <v>1823</v>
      </c>
      <c r="C62" s="2" t="s">
        <v>237</v>
      </c>
      <c r="D62" s="2" t="s">
        <v>238</v>
      </c>
      <c r="E62" s="2" t="s">
        <v>357</v>
      </c>
      <c r="F62" s="2" t="s">
        <v>358</v>
      </c>
    </row>
    <row r="63" spans="1:6" x14ac:dyDescent="0.3">
      <c r="A63" s="35" t="s">
        <v>1783</v>
      </c>
      <c r="B63" s="4" t="s">
        <v>1823</v>
      </c>
    </row>
    <row r="64" spans="1:6" x14ac:dyDescent="0.3">
      <c r="A64" s="35" t="s">
        <v>1784</v>
      </c>
      <c r="B64" s="4" t="s">
        <v>1823</v>
      </c>
    </row>
    <row r="65" spans="1:6" x14ac:dyDescent="0.3">
      <c r="A65" s="35" t="s">
        <v>1785</v>
      </c>
      <c r="B65" s="4" t="s">
        <v>1823</v>
      </c>
    </row>
    <row r="66" spans="1:6" x14ac:dyDescent="0.3">
      <c r="A66" s="35" t="s">
        <v>1730</v>
      </c>
      <c r="B66" s="4" t="s">
        <v>1822</v>
      </c>
      <c r="E66" s="2" t="s">
        <v>509</v>
      </c>
      <c r="F66" s="2" t="s">
        <v>510</v>
      </c>
    </row>
    <row r="67" spans="1:6" x14ac:dyDescent="0.3">
      <c r="A67" s="35" t="s">
        <v>1731</v>
      </c>
      <c r="B67" s="4" t="s">
        <v>1822</v>
      </c>
    </row>
    <row r="68" spans="1:6" x14ac:dyDescent="0.3">
      <c r="A68" s="35" t="s">
        <v>1732</v>
      </c>
      <c r="B68" s="4" t="s">
        <v>1822</v>
      </c>
      <c r="E68" s="2" t="s">
        <v>475</v>
      </c>
      <c r="F68" s="2" t="s">
        <v>1837</v>
      </c>
    </row>
    <row r="69" spans="1:6" x14ac:dyDescent="0.3">
      <c r="A69" s="35" t="s">
        <v>1786</v>
      </c>
      <c r="B69" s="4" t="s">
        <v>1823</v>
      </c>
      <c r="E69" s="2" t="s">
        <v>366</v>
      </c>
      <c r="F69" s="2" t="s">
        <v>367</v>
      </c>
    </row>
    <row r="70" spans="1:6" x14ac:dyDescent="0.3">
      <c r="A70" s="35" t="s">
        <v>1787</v>
      </c>
      <c r="B70" s="4" t="s">
        <v>1823</v>
      </c>
    </row>
    <row r="71" spans="1:6" ht="26.4" x14ac:dyDescent="0.3">
      <c r="A71" s="35" t="s">
        <v>1733</v>
      </c>
      <c r="B71" s="4" t="s">
        <v>1822</v>
      </c>
      <c r="C71" s="2" t="s">
        <v>1838</v>
      </c>
      <c r="D71" s="2" t="s">
        <v>1839</v>
      </c>
      <c r="E71" s="2" t="s">
        <v>631</v>
      </c>
      <c r="F71" s="2" t="s">
        <v>632</v>
      </c>
    </row>
    <row r="72" spans="1:6" x14ac:dyDescent="0.3">
      <c r="A72" s="35" t="s">
        <v>1788</v>
      </c>
      <c r="B72" s="4" t="s">
        <v>1823</v>
      </c>
    </row>
    <row r="73" spans="1:6" x14ac:dyDescent="0.3">
      <c r="A73" s="35" t="s">
        <v>1789</v>
      </c>
      <c r="B73" s="4" t="s">
        <v>1823</v>
      </c>
      <c r="E73" s="2" t="s">
        <v>557</v>
      </c>
      <c r="F73" s="2" t="s">
        <v>1840</v>
      </c>
    </row>
    <row r="74" spans="1:6" x14ac:dyDescent="0.3">
      <c r="A74" s="35" t="s">
        <v>1790</v>
      </c>
      <c r="B74" s="4" t="s">
        <v>1823</v>
      </c>
    </row>
    <row r="75" spans="1:6" x14ac:dyDescent="0.3">
      <c r="A75" s="35" t="s">
        <v>1791</v>
      </c>
      <c r="B75" s="4" t="s">
        <v>1823</v>
      </c>
    </row>
    <row r="76" spans="1:6" x14ac:dyDescent="0.3">
      <c r="A76" s="35" t="s">
        <v>1792</v>
      </c>
      <c r="B76" s="4" t="s">
        <v>1823</v>
      </c>
    </row>
    <row r="77" spans="1:6" ht="26.4" x14ac:dyDescent="0.3">
      <c r="A77" s="35" t="s">
        <v>1734</v>
      </c>
      <c r="B77" s="4" t="s">
        <v>1822</v>
      </c>
      <c r="C77" s="2" t="s">
        <v>1841</v>
      </c>
      <c r="D77" s="2" t="s">
        <v>1842</v>
      </c>
      <c r="E77" s="2" t="s">
        <v>633</v>
      </c>
      <c r="F77" s="2" t="s">
        <v>1843</v>
      </c>
    </row>
    <row r="78" spans="1:6" x14ac:dyDescent="0.3">
      <c r="A78" s="35" t="s">
        <v>1735</v>
      </c>
      <c r="B78" s="4" t="s">
        <v>1822</v>
      </c>
      <c r="C78" s="2" t="s">
        <v>424</v>
      </c>
      <c r="D78" s="2" t="s">
        <v>425</v>
      </c>
      <c r="E78" s="2" t="s">
        <v>606</v>
      </c>
      <c r="F78" s="2" t="s">
        <v>607</v>
      </c>
    </row>
    <row r="79" spans="1:6" ht="39.6" x14ac:dyDescent="0.3">
      <c r="A79" s="35" t="s">
        <v>1793</v>
      </c>
      <c r="B79" s="4" t="s">
        <v>1823</v>
      </c>
      <c r="E79" s="2" t="s">
        <v>1844</v>
      </c>
      <c r="F79" s="2" t="s">
        <v>1845</v>
      </c>
    </row>
    <row r="80" spans="1:6" x14ac:dyDescent="0.3">
      <c r="A80" s="35" t="s">
        <v>1794</v>
      </c>
      <c r="B80" s="4" t="s">
        <v>1823</v>
      </c>
    </row>
    <row r="81" spans="1:6" ht="26.4" x14ac:dyDescent="0.3">
      <c r="A81" s="35" t="s">
        <v>1795</v>
      </c>
      <c r="B81" s="4" t="s">
        <v>1823</v>
      </c>
      <c r="C81" s="2" t="s">
        <v>1846</v>
      </c>
      <c r="D81" s="2" t="s">
        <v>1847</v>
      </c>
    </row>
    <row r="82" spans="1:6" x14ac:dyDescent="0.3">
      <c r="A82" s="35" t="s">
        <v>1796</v>
      </c>
      <c r="B82" s="4" t="s">
        <v>1823</v>
      </c>
      <c r="C82" s="2" t="s">
        <v>184</v>
      </c>
      <c r="D82" s="2" t="s">
        <v>185</v>
      </c>
    </row>
    <row r="83" spans="1:6" x14ac:dyDescent="0.3">
      <c r="A83" s="35" t="s">
        <v>1736</v>
      </c>
      <c r="B83" s="4" t="s">
        <v>1822</v>
      </c>
    </row>
    <row r="84" spans="1:6" x14ac:dyDescent="0.3">
      <c r="A84" s="35" t="s">
        <v>1797</v>
      </c>
      <c r="B84" s="4" t="s">
        <v>1823</v>
      </c>
    </row>
    <row r="85" spans="1:6" x14ac:dyDescent="0.3">
      <c r="A85" s="35" t="s">
        <v>1737</v>
      </c>
      <c r="B85" s="4" t="s">
        <v>1822</v>
      </c>
    </row>
    <row r="86" spans="1:6" x14ac:dyDescent="0.3">
      <c r="A86" s="35" t="s">
        <v>1798</v>
      </c>
      <c r="B86" s="4" t="s">
        <v>1823</v>
      </c>
    </row>
    <row r="87" spans="1:6" x14ac:dyDescent="0.3">
      <c r="A87" s="35" t="s">
        <v>182</v>
      </c>
      <c r="B87" s="4" t="s">
        <v>1822</v>
      </c>
    </row>
    <row r="88" spans="1:6" ht="26.4" x14ac:dyDescent="0.3">
      <c r="A88" s="35" t="s">
        <v>1738</v>
      </c>
      <c r="B88" s="4" t="s">
        <v>1822</v>
      </c>
      <c r="C88" s="2" t="s">
        <v>1841</v>
      </c>
      <c r="D88" s="2" t="s">
        <v>1842</v>
      </c>
      <c r="E88" s="2" t="s">
        <v>449</v>
      </c>
      <c r="F88" s="2" t="s">
        <v>450</v>
      </c>
    </row>
    <row r="89" spans="1:6" x14ac:dyDescent="0.3">
      <c r="A89" s="35" t="s">
        <v>1739</v>
      </c>
      <c r="B89" s="4" t="s">
        <v>1822</v>
      </c>
      <c r="C89" s="2" t="s">
        <v>1848</v>
      </c>
      <c r="D89" s="2" t="s">
        <v>532</v>
      </c>
      <c r="E89" s="2" t="s">
        <v>110</v>
      </c>
      <c r="F89" s="2" t="s">
        <v>111</v>
      </c>
    </row>
    <row r="90" spans="1:6" x14ac:dyDescent="0.3">
      <c r="A90" s="35" t="s">
        <v>1799</v>
      </c>
      <c r="B90" s="4" t="s">
        <v>1823</v>
      </c>
    </row>
    <row r="91" spans="1:6" x14ac:dyDescent="0.3">
      <c r="A91" s="35" t="s">
        <v>1800</v>
      </c>
      <c r="B91" s="4" t="s">
        <v>1823</v>
      </c>
    </row>
    <row r="92" spans="1:6" x14ac:dyDescent="0.3">
      <c r="A92" s="35" t="s">
        <v>1801</v>
      </c>
      <c r="B92" s="4" t="s">
        <v>1823</v>
      </c>
    </row>
    <row r="93" spans="1:6" x14ac:dyDescent="0.3">
      <c r="A93" s="35" t="s">
        <v>1740</v>
      </c>
      <c r="B93" s="4" t="s">
        <v>1822</v>
      </c>
    </row>
    <row r="94" spans="1:6" x14ac:dyDescent="0.3">
      <c r="A94" s="35" t="s">
        <v>1802</v>
      </c>
      <c r="B94" s="4" t="s">
        <v>1823</v>
      </c>
      <c r="E94" s="2" t="s">
        <v>454</v>
      </c>
      <c r="F94" s="2" t="s">
        <v>455</v>
      </c>
    </row>
    <row r="95" spans="1:6" x14ac:dyDescent="0.3">
      <c r="A95" s="35" t="s">
        <v>1803</v>
      </c>
      <c r="B95" s="4" t="s">
        <v>1823</v>
      </c>
    </row>
    <row r="96" spans="1:6" x14ac:dyDescent="0.3">
      <c r="A96" s="35" t="s">
        <v>1804</v>
      </c>
      <c r="B96" s="4" t="s">
        <v>1823</v>
      </c>
    </row>
    <row r="97" spans="1:6" x14ac:dyDescent="0.3">
      <c r="A97" s="35" t="s">
        <v>1805</v>
      </c>
      <c r="B97" s="4" t="s">
        <v>1823</v>
      </c>
    </row>
    <row r="98" spans="1:6" x14ac:dyDescent="0.3">
      <c r="A98" s="35" t="s">
        <v>1806</v>
      </c>
      <c r="B98" s="4" t="s">
        <v>1823</v>
      </c>
    </row>
    <row r="99" spans="1:6" x14ac:dyDescent="0.3">
      <c r="A99" s="35" t="s">
        <v>1807</v>
      </c>
      <c r="B99" s="4" t="s">
        <v>1823</v>
      </c>
    </row>
    <row r="100" spans="1:6" ht="39.6" x14ac:dyDescent="0.3">
      <c r="A100" s="35" t="s">
        <v>1741</v>
      </c>
      <c r="B100" s="4" t="s">
        <v>1822</v>
      </c>
      <c r="C100" s="2" t="s">
        <v>1849</v>
      </c>
      <c r="D100" s="2" t="s">
        <v>1850</v>
      </c>
    </row>
    <row r="101" spans="1:6" x14ac:dyDescent="0.3">
      <c r="A101" s="35" t="s">
        <v>1808</v>
      </c>
      <c r="B101" s="4" t="s">
        <v>1823</v>
      </c>
    </row>
    <row r="102" spans="1:6" x14ac:dyDescent="0.3">
      <c r="A102" s="35" t="s">
        <v>764</v>
      </c>
      <c r="B102" s="4" t="s">
        <v>1823</v>
      </c>
    </row>
    <row r="103" spans="1:6" x14ac:dyDescent="0.3">
      <c r="A103" s="35" t="s">
        <v>1742</v>
      </c>
      <c r="B103" s="4" t="s">
        <v>1822</v>
      </c>
    </row>
    <row r="104" spans="1:6" ht="26.4" x14ac:dyDescent="0.3">
      <c r="A104" s="35" t="s">
        <v>1743</v>
      </c>
      <c r="B104" s="4" t="s">
        <v>1822</v>
      </c>
      <c r="E104" s="2" t="s">
        <v>1851</v>
      </c>
      <c r="F104" s="2" t="s">
        <v>1852</v>
      </c>
    </row>
    <row r="105" spans="1:6" x14ac:dyDescent="0.3">
      <c r="A105" s="35" t="s">
        <v>1809</v>
      </c>
      <c r="B105" s="4" t="s">
        <v>1823</v>
      </c>
    </row>
    <row r="106" spans="1:6" x14ac:dyDescent="0.3">
      <c r="A106" s="35" t="s">
        <v>1810</v>
      </c>
      <c r="B106" s="4" t="s">
        <v>1823</v>
      </c>
      <c r="E106" s="2" t="s">
        <v>239</v>
      </c>
      <c r="F106" s="2" t="s">
        <v>1853</v>
      </c>
    </row>
    <row r="107" spans="1:6" x14ac:dyDescent="0.3">
      <c r="A107" s="35" t="s">
        <v>1811</v>
      </c>
      <c r="B107" s="4" t="s">
        <v>1823</v>
      </c>
    </row>
    <row r="108" spans="1:6" x14ac:dyDescent="0.3">
      <c r="A108" s="35" t="s">
        <v>1812</v>
      </c>
      <c r="B108" s="4" t="s">
        <v>1823</v>
      </c>
      <c r="E108" s="2" t="s">
        <v>336</v>
      </c>
      <c r="F108" s="2" t="s">
        <v>1854</v>
      </c>
    </row>
    <row r="109" spans="1:6" x14ac:dyDescent="0.3">
      <c r="A109" s="35" t="s">
        <v>1813</v>
      </c>
      <c r="B109" s="4" t="s">
        <v>1823</v>
      </c>
    </row>
    <row r="110" spans="1:6" x14ac:dyDescent="0.3">
      <c r="A110" s="35" t="s">
        <v>1814</v>
      </c>
      <c r="B110" s="4" t="s">
        <v>1823</v>
      </c>
    </row>
    <row r="111" spans="1:6" x14ac:dyDescent="0.3">
      <c r="A111" s="35" t="s">
        <v>1744</v>
      </c>
      <c r="B111" s="4" t="s">
        <v>1822</v>
      </c>
      <c r="C111" s="2"/>
      <c r="D111" s="2"/>
      <c r="E111" s="2" t="s">
        <v>188</v>
      </c>
      <c r="F111" s="2" t="s">
        <v>189</v>
      </c>
    </row>
    <row r="112" spans="1:6" x14ac:dyDescent="0.3">
      <c r="A112" s="35" t="s">
        <v>1815</v>
      </c>
      <c r="B112" s="4" t="s">
        <v>1823</v>
      </c>
    </row>
    <row r="113" spans="1:4" x14ac:dyDescent="0.3">
      <c r="A113" s="35" t="s">
        <v>1816</v>
      </c>
      <c r="B113" s="4" t="s">
        <v>1823</v>
      </c>
    </row>
    <row r="114" spans="1:4" x14ac:dyDescent="0.3">
      <c r="A114" s="35" t="s">
        <v>1817</v>
      </c>
      <c r="B114" s="4" t="s">
        <v>1823</v>
      </c>
      <c r="C114" s="2" t="s">
        <v>506</v>
      </c>
      <c r="D114" s="2" t="s">
        <v>1855</v>
      </c>
    </row>
    <row r="115" spans="1:4" x14ac:dyDescent="0.3">
      <c r="A115" s="35" t="s">
        <v>1745</v>
      </c>
      <c r="B115" s="4" t="s">
        <v>1822</v>
      </c>
    </row>
    <row r="116" spans="1:4" x14ac:dyDescent="0.3">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abSelected="1" topLeftCell="A130" zoomScale="80" zoomScaleNormal="80" workbookViewId="0">
      <selection activeCell="B100" sqref="A100:P100"/>
    </sheetView>
  </sheetViews>
  <sheetFormatPr defaultRowHeight="14.4" x14ac:dyDescent="0.3"/>
  <cols>
    <col min="1" max="1" width="9.33203125" customWidth="1"/>
    <col min="2" max="2" width="26.33203125" style="66" customWidth="1"/>
    <col min="3" max="3" width="11.6640625" style="4" customWidth="1"/>
    <col min="4" max="4" width="12.6640625" customWidth="1"/>
    <col min="5" max="6" width="13.6640625" customWidth="1"/>
    <col min="7" max="7" width="31.6640625" style="19" bestFit="1" customWidth="1"/>
    <col min="8" max="8" width="10.33203125" style="19" bestFit="1" customWidth="1"/>
    <col min="9" max="9" width="67.5546875" style="1" customWidth="1"/>
    <col min="10" max="10" width="14.44140625" style="58" customWidth="1"/>
    <col min="11" max="11" width="11.5546875" style="4" customWidth="1"/>
    <col min="12" max="12" width="9.44140625" style="1" customWidth="1"/>
    <col min="13" max="13" width="28.109375" style="1" customWidth="1"/>
    <col min="14" max="14" width="34.44140625" style="4" customWidth="1"/>
    <col min="15" max="15" width="60.109375" customWidth="1"/>
    <col min="16" max="16" width="63.109375" customWidth="1"/>
  </cols>
  <sheetData>
    <row r="1" spans="1:16" ht="29.25" customHeight="1" x14ac:dyDescent="0.3">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3">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3">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3">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3">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3">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3">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3">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3">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3">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3">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3">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3">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3">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3">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3">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3">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3">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3">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3">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3">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3">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3">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3">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3">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3">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3">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3">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3">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3">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3">
      <c r="A31" s="39" t="s">
        <v>1920</v>
      </c>
      <c r="B31" s="60" t="s">
        <v>1908</v>
      </c>
      <c r="C31" s="4" t="s">
        <v>573</v>
      </c>
      <c r="D31" s="27">
        <f t="shared" si="0"/>
        <v>290</v>
      </c>
      <c r="E31" s="31">
        <f>D31/'Top 10 Hard'!$J$2</f>
        <v>7.8450255774885711E-3</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3">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3">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3">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3">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3">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3">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3">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3">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3">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3">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3">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3">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3">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3">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3">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3">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3">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3">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3">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3">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3">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3">
      <c r="A53" s="39" t="s">
        <v>2053</v>
      </c>
      <c r="B53" s="60" t="s">
        <v>1875</v>
      </c>
      <c r="C53" s="4" t="s">
        <v>434</v>
      </c>
      <c r="D53" s="27">
        <f t="shared" si="1"/>
        <v>146</v>
      </c>
      <c r="E53" s="31">
        <f>D53/'Top 10 Hard'!$J$2</f>
        <v>3.9495646010804528E-3</v>
      </c>
      <c r="F53" s="31">
        <f>IF(NOT(ISNUMBER(F52)),0,F52)+Table1[[#This Row],[Points]]/'Top 10 Hard'!$J$2</f>
        <v>0.56536529414788195</v>
      </c>
      <c r="G53" s="51" t="s">
        <v>475</v>
      </c>
      <c r="H53" s="64" t="str">
        <f>IF(VLOOKUP($G53,List!$A:$O,15,FALSE)=0,"",VLOOKUP($G53,List!$A:$O,15,FALSE))</f>
        <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3">
      <c r="A54" s="39" t="s">
        <v>1932</v>
      </c>
      <c r="B54" s="60" t="s">
        <v>1875</v>
      </c>
      <c r="C54" s="4" t="s">
        <v>434</v>
      </c>
      <c r="D54" s="27">
        <f t="shared" si="1"/>
        <v>236.85</v>
      </c>
      <c r="E54" s="31">
        <f>D54/'Top 10 Hard'!$J$2</f>
        <v>6.4072217518212687E-3</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3">
      <c r="A55" s="39" t="s">
        <v>1932</v>
      </c>
      <c r="B55" s="60" t="s">
        <v>1875</v>
      </c>
      <c r="C55" s="4" t="s">
        <v>434</v>
      </c>
      <c r="D55" s="27">
        <f t="shared" si="1"/>
        <v>236.85</v>
      </c>
      <c r="E55" s="31">
        <f>D55/'Top 10 Hard'!$J$2</f>
        <v>6.4072217518212687E-3</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3">
      <c r="A56" s="39" t="s">
        <v>1932</v>
      </c>
      <c r="B56" s="60" t="s">
        <v>1875</v>
      </c>
      <c r="C56" s="4" t="s">
        <v>434</v>
      </c>
      <c r="D56" s="27">
        <f t="shared" si="1"/>
        <v>236.85</v>
      </c>
      <c r="E56" s="31">
        <f>D56/'Top 10 Hard'!$J$2</f>
        <v>6.4072217518212687E-3</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3">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3">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3">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3">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3">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3">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3">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3">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3">
      <c r="A65" s="39" t="s">
        <v>1940</v>
      </c>
      <c r="B65" s="60" t="s">
        <v>1802</v>
      </c>
      <c r="C65" s="4" t="s">
        <v>434</v>
      </c>
      <c r="D65" s="27">
        <f t="shared" si="1"/>
        <v>144</v>
      </c>
      <c r="E65" s="31">
        <f>D65/'Top 10 Hard'!$J$2</f>
        <v>3.8954609764081179E-3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3">
      <c r="A66" s="39" t="s">
        <v>2052</v>
      </c>
      <c r="B66" s="60" t="s">
        <v>1802</v>
      </c>
      <c r="C66" s="4" t="s">
        <v>434</v>
      </c>
      <c r="D66" s="27">
        <f t="shared" ref="D66:D97" si="2">SUMIFS($L:$L,$A:$A,$A66)</f>
        <v>148.5</v>
      </c>
      <c r="E66" s="31">
        <f>D66/'Top 10 Hard'!$J$2</f>
        <v>4.0171941319208718E-3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3">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3">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3">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3">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3">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3">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3">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3">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3">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3">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3">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3">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3">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3">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3">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3">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3">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3">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3">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3">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3">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3">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3">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3">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3">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3">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3">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3">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3">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3">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3">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3">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3">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3">
      <c r="A100" s="45" t="s">
        <v>2054</v>
      </c>
      <c r="B100" s="59" t="s">
        <v>2021</v>
      </c>
      <c r="C100" s="4" t="s">
        <v>434</v>
      </c>
      <c r="D100" s="27">
        <f t="shared" si="3"/>
        <v>148.5</v>
      </c>
      <c r="E100" s="31">
        <f>D100/'Top 10 Hard'!$J$2</f>
        <v>4.0171941319208718E-3</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3">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3">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3">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3">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3">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3">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3">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3">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3">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3">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3">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3">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3">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3">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3">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3">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3">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3">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3">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3">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3">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3">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3">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3">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3">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3">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3">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3">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3">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3">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3">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3">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3">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3">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3">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3">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3">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3">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3">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3">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3">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3">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3">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3">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3">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3">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3">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3">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3">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3">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3">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3">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3">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4.4" x14ac:dyDescent="0.3"/>
  <cols>
    <col min="1" max="1" width="31.6640625" bestFit="1" customWidth="1"/>
    <col min="2" max="2" width="67.5546875" customWidth="1"/>
    <col min="3" max="3" width="10.44140625" bestFit="1" customWidth="1"/>
    <col min="4" max="4" width="8" bestFit="1" customWidth="1"/>
    <col min="6" max="6" width="14.5546875" customWidth="1"/>
    <col min="7" max="7" width="28.109375" customWidth="1"/>
    <col min="8" max="8" width="60.109375" customWidth="1"/>
    <col min="9" max="9" width="43.33203125" customWidth="1"/>
  </cols>
  <sheetData>
    <row r="1" spans="1:10" ht="26.4" x14ac:dyDescent="0.3">
      <c r="A1" s="11" t="s">
        <v>634</v>
      </c>
      <c r="B1" s="11" t="s">
        <v>635</v>
      </c>
      <c r="C1" s="11" t="s">
        <v>637</v>
      </c>
      <c r="D1" s="12" t="s">
        <v>636</v>
      </c>
      <c r="E1" s="12" t="s">
        <v>754</v>
      </c>
      <c r="F1" s="11" t="s">
        <v>758</v>
      </c>
      <c r="G1" s="13" t="s">
        <v>766</v>
      </c>
      <c r="H1" s="13" t="s">
        <v>767</v>
      </c>
      <c r="I1" s="13" t="s">
        <v>1636</v>
      </c>
    </row>
    <row r="2" spans="1:10" ht="22.5" customHeight="1" x14ac:dyDescent="0.3">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3">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3">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3">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3">
      <c r="A6" s="75" t="s">
        <v>1702</v>
      </c>
      <c r="B6" s="75"/>
      <c r="C6" s="75"/>
      <c r="D6" s="75"/>
      <c r="E6" s="75"/>
      <c r="F6" s="75"/>
      <c r="G6" s="75"/>
      <c r="H6" s="75"/>
      <c r="I6" s="75"/>
      <c r="J6" s="7"/>
    </row>
    <row r="7" spans="1:10" ht="53.4" x14ac:dyDescent="0.3">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3">
      <c r="A8" s="76" t="s">
        <v>1703</v>
      </c>
      <c r="B8" s="76"/>
      <c r="C8" s="76"/>
      <c r="D8" s="76"/>
      <c r="E8" s="76"/>
      <c r="F8" s="76"/>
      <c r="G8" s="76"/>
      <c r="H8" s="76"/>
      <c r="I8" s="76"/>
      <c r="J8" s="7"/>
    </row>
    <row r="9" spans="1:10" ht="27" x14ac:dyDescent="0.3">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3">
      <c r="A10" s="77" t="s">
        <v>1704</v>
      </c>
      <c r="B10" s="77"/>
      <c r="C10" s="77"/>
      <c r="D10" s="77"/>
      <c r="E10" s="77"/>
      <c r="F10" s="77"/>
      <c r="G10" s="77"/>
      <c r="H10" s="77"/>
      <c r="I10" s="77"/>
      <c r="J10" s="7"/>
    </row>
    <row r="11" spans="1:10" ht="118.8" x14ac:dyDescent="0.3">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3">
      <c r="A12" s="75" t="s">
        <v>1705</v>
      </c>
      <c r="B12" s="75"/>
      <c r="C12" s="75"/>
      <c r="D12" s="75"/>
      <c r="E12" s="75"/>
      <c r="F12" s="75"/>
      <c r="G12" s="75"/>
      <c r="H12" s="75"/>
      <c r="I12" s="75"/>
      <c r="J12" s="7"/>
    </row>
    <row r="13" spans="1:10" ht="39" customHeight="1" x14ac:dyDescent="0.3">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3">
      <c r="A14" s="78" t="s">
        <v>1706</v>
      </c>
      <c r="B14" s="78"/>
      <c r="C14" s="78"/>
      <c r="D14" s="78"/>
      <c r="E14" s="78"/>
      <c r="F14" s="78"/>
      <c r="G14" s="78"/>
      <c r="H14" s="78"/>
      <c r="I14" s="78"/>
      <c r="J14" s="7"/>
    </row>
    <row r="15" spans="1:10" ht="224.4" x14ac:dyDescent="0.3">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3">
      <c r="B16" s="2"/>
      <c r="C16" s="2"/>
    </row>
    <row r="17" spans="2:3" x14ac:dyDescent="0.3">
      <c r="B17" s="2"/>
    </row>
    <row r="19" spans="2:3" x14ac:dyDescent="0.3">
      <c r="C19" s="2"/>
    </row>
    <row r="21" spans="2:3" x14ac:dyDescent="0.3">
      <c r="B21" s="2"/>
      <c r="C21" s="2"/>
    </row>
    <row r="22" spans="2:3" x14ac:dyDescent="0.3">
      <c r="C22" s="2"/>
    </row>
    <row r="24" spans="2:3" x14ac:dyDescent="0.3">
      <c r="C24" s="2"/>
    </row>
    <row r="25" spans="2:3" x14ac:dyDescent="0.3">
      <c r="C25" s="2"/>
    </row>
    <row r="26" spans="2:3" x14ac:dyDescent="0.3">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4.4" x14ac:dyDescent="0.3"/>
  <cols>
    <col min="1" max="1" width="31.6640625" bestFit="1" customWidth="1"/>
    <col min="2" max="2" width="67.5546875" customWidth="1"/>
    <col min="3" max="3" width="10.44140625" bestFit="1" customWidth="1"/>
    <col min="4" max="4" width="8" bestFit="1" customWidth="1"/>
    <col min="5" max="5" width="8" customWidth="1"/>
    <col min="6" max="6" width="28.109375" customWidth="1"/>
    <col min="7" max="7" width="60.109375" customWidth="1"/>
    <col min="8" max="8" width="63.109375" customWidth="1"/>
  </cols>
  <sheetData>
    <row r="1" spans="1:8" ht="21" x14ac:dyDescent="0.3">
      <c r="C1" s="30" t="s">
        <v>1680</v>
      </c>
      <c r="D1" s="31">
        <f>E1/'Top 10 Hard'!$J$2</f>
        <v>5.8093766991919671E-3</v>
      </c>
      <c r="E1" s="27">
        <f>SUM(E3:E4)</f>
        <v>214.75</v>
      </c>
    </row>
    <row r="2" spans="1:8" ht="26.4" x14ac:dyDescent="0.3">
      <c r="A2" s="11" t="s">
        <v>634</v>
      </c>
      <c r="B2" s="11" t="s">
        <v>635</v>
      </c>
      <c r="C2" s="11" t="s">
        <v>637</v>
      </c>
      <c r="D2" s="12" t="s">
        <v>636</v>
      </c>
      <c r="E2" s="12" t="s">
        <v>1668</v>
      </c>
      <c r="F2" s="13" t="s">
        <v>766</v>
      </c>
      <c r="G2" s="13" t="s">
        <v>767</v>
      </c>
      <c r="H2" s="13" t="s">
        <v>1636</v>
      </c>
    </row>
    <row r="3" spans="1:8" ht="105.6" x14ac:dyDescent="0.3">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3" x14ac:dyDescent="0.3">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3">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4.4" x14ac:dyDescent="0.3"/>
  <sheetData>
    <row r="1" spans="1:3" x14ac:dyDescent="0.3">
      <c r="A1" s="6" t="s">
        <v>434</v>
      </c>
      <c r="B1">
        <v>4</v>
      </c>
      <c r="C1">
        <v>5</v>
      </c>
    </row>
    <row r="2" spans="1:3" x14ac:dyDescent="0.3">
      <c r="A2" s="6" t="s">
        <v>242</v>
      </c>
      <c r="B2">
        <v>3</v>
      </c>
      <c r="C2">
        <v>2.5</v>
      </c>
    </row>
    <row r="3" spans="1:3" x14ac:dyDescent="0.3">
      <c r="A3" s="6" t="s">
        <v>105</v>
      </c>
      <c r="B3">
        <v>2</v>
      </c>
      <c r="C3">
        <v>1</v>
      </c>
    </row>
    <row r="4" spans="1:3" x14ac:dyDescent="0.3">
      <c r="A4" s="6" t="s">
        <v>2</v>
      </c>
      <c r="B4">
        <v>1</v>
      </c>
      <c r="C4">
        <v>0.5</v>
      </c>
    </row>
    <row r="5" spans="1:3" x14ac:dyDescent="0.3">
      <c r="A5" s="6" t="s">
        <v>573</v>
      </c>
      <c r="B5">
        <v>5</v>
      </c>
      <c r="C5">
        <v>10</v>
      </c>
    </row>
    <row r="6" spans="1:3" x14ac:dyDescent="0.3">
      <c r="A6" s="6" t="s">
        <v>626</v>
      </c>
      <c r="B6">
        <v>6</v>
      </c>
      <c r="C6">
        <v>30</v>
      </c>
    </row>
    <row r="7" spans="1:3" x14ac:dyDescent="0.3">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09375" defaultRowHeight="14.4" outlineLevelCol="2" x14ac:dyDescent="0.3"/>
  <cols>
    <col min="1" max="1" width="4.5546875" style="1" customWidth="1"/>
    <col min="2" max="2" width="25.6640625" style="1" bestFit="1" customWidth="1"/>
    <col min="3" max="3" width="67.33203125" style="1" customWidth="1" outlineLevel="1"/>
    <col min="4" max="7" width="55.5546875" style="1" hidden="1" customWidth="1" outlineLevel="2"/>
    <col min="8" max="9" width="9.109375" style="1"/>
    <col min="10" max="10" width="11.109375" style="1" bestFit="1" customWidth="1"/>
    <col min="11" max="11" width="9.109375" style="1"/>
    <col min="12" max="12" width="11.109375" style="1" bestFit="1" customWidth="1"/>
    <col min="13" max="13" width="2.44140625" style="1" customWidth="1"/>
    <col min="14" max="14" width="4.5546875" style="1" customWidth="1"/>
    <col min="15" max="15" width="25.6640625" style="1" bestFit="1" customWidth="1"/>
    <col min="16" max="16" width="67.33203125" style="1" customWidth="1" outlineLevel="1"/>
    <col min="17" max="20" width="9.109375" style="1"/>
    <col min="21" max="21" width="11.109375" style="1" bestFit="1" customWidth="1"/>
    <col min="22" max="22" width="2.6640625" style="1" customWidth="1"/>
    <col min="23" max="23" width="4.5546875" style="1" customWidth="1"/>
    <col min="24" max="24" width="25.6640625" style="1" bestFit="1" customWidth="1"/>
    <col min="25" max="25" width="67.33203125" style="1" customWidth="1" outlineLevel="1"/>
    <col min="26" max="16384" width="9.109375" style="1"/>
  </cols>
  <sheetData>
    <row r="1" spans="1:28" x14ac:dyDescent="0.3">
      <c r="I1" s="1" t="s">
        <v>1672</v>
      </c>
      <c r="J1" s="1" t="s">
        <v>1670</v>
      </c>
      <c r="K1" s="1" t="s">
        <v>1671</v>
      </c>
      <c r="L1" s="1" t="s">
        <v>1681</v>
      </c>
    </row>
    <row r="2" spans="1:28" ht="21" x14ac:dyDescent="0.3">
      <c r="I2" s="29">
        <f>K2/J2</f>
        <v>0.59265110466075721</v>
      </c>
      <c r="J2" s="28">
        <f>SUM(List!E:E)</f>
        <v>36966.099999999969</v>
      </c>
      <c r="K2" s="27">
        <f>SUMIFS(List!$E:$E,List!$O:$O,"Y")</f>
        <v>21908</v>
      </c>
      <c r="L2" s="1">
        <f>COUNTIFS(List!O:O,"Y")</f>
        <v>267</v>
      </c>
    </row>
    <row r="3" spans="1:28" x14ac:dyDescent="0.3">
      <c r="J3" s="67"/>
      <c r="L3" s="1">
        <v>373</v>
      </c>
    </row>
    <row r="4" spans="1:28" ht="15.6" x14ac:dyDescent="0.3">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6.4" x14ac:dyDescent="0.3">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3">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3">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3">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3">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3">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3">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3">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Where are the penguins?</v>
      </c>
      <c r="Y12" s="2" t="str">
        <f>VLOOKUP($X12,List!$A$1:$U$374,2,FALSE)</f>
        <v>As a Malagasy country, unite Madagascar and hold all the most southern 
provinces of the world.</v>
      </c>
      <c r="Z12" s="3">
        <f>VLOOKUP($X12,List!$A$1:$U$374,3,FALSE)</f>
        <v>4.0000000000000001E-3</v>
      </c>
      <c r="AA12" s="6" t="str">
        <f>VLOOKUP($X12,List!$A$1:$U$374,4,FALSE)</f>
        <v>M</v>
      </c>
      <c r="AB12" s="26">
        <f>IF(VLOOKUP($X12,List!$A$1:$U$374,5,FALSE)="","",VLOOKUP($B12,List!$A$1:$U$374,5,FALSE))</f>
        <v>148.5</v>
      </c>
    </row>
    <row r="13" spans="1:28" ht="22.5" customHeight="1" x14ac:dyDescent="0.3">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Stardust Crusaders</v>
      </c>
      <c r="Y13" s="15" t="str">
        <f>VLOOKUP($X13,List!$A$1:$U$374,2,FALSE)</f>
        <v>As Japan have the Land of the Christian Sun reform while Palestine and 
Cairo are Christian under us.</v>
      </c>
      <c r="Z13" s="16">
        <f>VLOOKUP($X13,List!$A$1:$U$374,3,FALSE)</f>
        <v>4.0000000000000001E-3</v>
      </c>
      <c r="AA13" s="17" t="str">
        <f>VLOOKUP($X13,List!$A$1:$U$374,4,FALSE)</f>
        <v>M</v>
      </c>
      <c r="AB13" s="25">
        <f>IF(VLOOKUP($X13,List!$A$1:$U$374,5,FALSE)="","",VLOOKUP($B13,List!$A$1:$U$374,5,FALSE))</f>
        <v>148.5</v>
      </c>
    </row>
    <row r="14" spans="1:28" ht="22.5" customHeight="1" x14ac:dyDescent="0.3">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New, New Deli</v>
      </c>
      <c r="Y14" s="2" t="str">
        <f>VLOOKUP($X14,List!$A$1:$U$374,2,FALSE)</f>
        <v>As Deli, have your capital in the Delhi province.</v>
      </c>
      <c r="Z14" s="3">
        <f>VLOOKUP($X14,List!$A$1:$U$374,3,FALSE)</f>
        <v>4.0000000000000001E-3</v>
      </c>
      <c r="AA14" s="6" t="str">
        <f>VLOOKUP($X14,List!$A$1:$U$374,4,FALSE)</f>
        <v>H</v>
      </c>
      <c r="AB14" s="26">
        <f>IF(VLOOKUP($X14,List!$A$1:$U$374,5,FALSE)="","",VLOOKUP($B14,List!$A$1:$U$374,5,FALSE))</f>
        <v>148.5</v>
      </c>
    </row>
    <row r="15" spans="1:28" ht="22.5" customHeight="1" x14ac:dyDescent="0.3">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One nation to rule them all</v>
      </c>
      <c r="Y15" s="15" t="str">
        <f>VLOOKUP($X15,List!$A$1:$U$374,2,FALSE)</f>
        <v>As Saruhan, have at least 9 loyal vassals with at least 100 development 
each.</v>
      </c>
      <c r="Z15" s="16">
        <f>VLOOKUP($X15,List!$A$1:$U$374,3,FALSE)</f>
        <v>4.0000000000000001E-3</v>
      </c>
      <c r="AA15" s="17" t="str">
        <f>VLOOKUP($X15,List!$A$1:$U$374,4,FALSE)</f>
        <v>H</v>
      </c>
      <c r="AB15" s="25">
        <f>IF(VLOOKUP($X15,List!$A$1:$U$374,5,FALSE)="","",VLOOKUP($B15,List!$A$1:$U$374,5,FALSE))</f>
        <v>148.5</v>
      </c>
    </row>
    <row r="17" spans="1:28" ht="15.6" x14ac:dyDescent="0.3">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6.4" x14ac:dyDescent="0.3">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3">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3">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3">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3">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3">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3">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Inner Turmoil</v>
      </c>
      <c r="Y24" s="15" t="str">
        <f>VLOOKUP($X24,List!$A$1:$U$374,2,FALSE)</f>
        <v>Starting as The Isles, own 20 provinces by 1500, none of which are on 
Islands.</v>
      </c>
      <c r="Z24" s="16">
        <f>VLOOKUP($X24,List!$A$1:$U$374,3,FALSE)</f>
        <v>4.0000000000000001E-3</v>
      </c>
      <c r="AA24" s="17" t="str">
        <f>VLOOKUP($X24,List!$A$1:$U$374,4,FALSE)</f>
        <v>VH</v>
      </c>
      <c r="AB24" s="25">
        <f>IF(VLOOKUP($X24,List!$A$1:$U$374,5,FALSE)="","",VLOOKUP($B24,List!$A$1:$U$374,5,FALSE))</f>
        <v>297</v>
      </c>
    </row>
    <row r="25" spans="1:28" ht="22.5" customHeight="1" x14ac:dyDescent="0.3">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Around the World in 80 Years</v>
      </c>
      <c r="P25" s="2" t="str">
        <f>VLOOKUP($O25,List!$A$1:$U$374,2,FALSE)</f>
        <v>Starting as a Custom Nation of up to 400 points in the British Region, own 
New York, San Francisco, Suez, Bombay, Calcutta, Hong Kong and Yokohama by 
1524.11.11.</v>
      </c>
      <c r="Q25" s="3">
        <f>VLOOKUP($O25,List!$A$1:$U$374,3,FALSE)</f>
        <v>6.0000000000000001E-3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Custom</v>
      </c>
      <c r="W25" s="1">
        <v>7</v>
      </c>
      <c r="X25" s="1" t="str" cm="1">
        <f t="array" ref="X25">INDEX(List!A:A,MATCH(LARGE(List!N:N,ROW(8:8)),List!N:N,0))</f>
        <v>Empire of Mann</v>
      </c>
      <c r="Y25" s="2" t="str">
        <f>VLOOKUP($X25,List!$A$1:$U$374,2,FALSE)</f>
        <v>As Mann, conquer all Islands in the world.</v>
      </c>
      <c r="Z25" s="3">
        <f>VLOOKUP($X25,List!$A$1:$U$374,3,FALSE)</f>
        <v>6.0000000000000001E-3</v>
      </c>
      <c r="AA25" s="6" t="str">
        <f>VLOOKUP($X25,List!$A$1:$U$374,4,FALSE)</f>
        <v>VH</v>
      </c>
      <c r="AB25" s="26">
        <f>IF(VLOOKUP($X25,List!$A$1:$U$374,5,FALSE)="","",VLOOKUP($B25,List!$A$1:$U$374,5,FALSE))</f>
        <v>297</v>
      </c>
    </row>
    <row r="26" spans="1:28" ht="22.5" customHeight="1" x14ac:dyDescent="0.3">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Basque in Glory</v>
      </c>
      <c r="P26" s="15" t="str">
        <f>VLOOKUP($O26,List!$A$1:$U$374,2,FALSE)</f>
        <v>Starting as Navarra, ensure that most of Iberia is Basque culture before 
the Age of Absolutism.</v>
      </c>
      <c r="Q26" s="16">
        <f>VLOOKUP($O26,List!$A$1:$U$374,3,FALSE)</f>
        <v>7.0000000000000001E-3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Navarra</v>
      </c>
      <c r="W26" s="14">
        <v>8</v>
      </c>
      <c r="X26" s="1" t="str" cm="1">
        <f t="array" ref="X26">INDEX(List!A:A,MATCH(LARGE(List!N:N,ROW(9:9)),List!N:N,0))</f>
        <v>Great Perm</v>
      </c>
      <c r="Y26" s="15" t="str">
        <f>VLOOKUP($X26,List!$A$1:$U$374,2,FALSE)</f>
        <v>As Perm, own or have a subject own the Russian, Siberian, Scandinavian, 
Canadian, Hudson Bay and Cascadian Regions.</v>
      </c>
      <c r="Z26" s="16">
        <f>VLOOKUP($X26,List!$A$1:$U$374,3,FALSE)</f>
        <v>7.0000000000000001E-3</v>
      </c>
      <c r="AA26" s="17" t="str">
        <f>VLOOKUP($X26,List!$A$1:$U$374,4,FALSE)</f>
        <v>VH</v>
      </c>
      <c r="AB26" s="25">
        <f>IF(VLOOKUP($X26,List!$A$1:$U$374,5,FALSE)="","",VLOOKUP($B26,List!$A$1:$U$374,5,FALSE))</f>
        <v>297</v>
      </c>
    </row>
    <row r="27" spans="1:28" ht="22.5" customHeight="1" x14ac:dyDescent="0.3">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Where the heart is</v>
      </c>
      <c r="P27" s="2" t="str">
        <f>VLOOKUP($O27,List!$A$1:$U$374,2,FALSE)</f>
        <v>As Dahomey, force all non-Fetishist nations out of Niger and Sahel by 1500.</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Dahomey</v>
      </c>
      <c r="W27" s="1">
        <v>9</v>
      </c>
      <c r="X27" s="1" t="str" cm="1">
        <f t="array" ref="X27">INDEX(List!A:A,MATCH(LARGE(List!N:N,ROW(10:10)),List!N:N,0))</f>
        <v>Spanish Fly</v>
      </c>
      <c r="Y27" s="2" t="str">
        <f>VLOOKUP($X27,List!$A$1:$U$374,2,FALSE)</f>
        <v>Starting as Offaly, secure a Personal Union over an Iberian nation.</v>
      </c>
      <c r="Z27" s="3">
        <f>VLOOKUP($X27,List!$A$1:$U$374,3,FALSE)</f>
        <v>7.0000000000000001E-3</v>
      </c>
      <c r="AA27" s="6" t="str">
        <f>VLOOKUP($X27,List!$A$1:$U$374,4,FALSE)</f>
        <v>VH</v>
      </c>
      <c r="AB27" s="26">
        <f>IF(VLOOKUP($X27,List!$A$1:$U$374,5,FALSE)="","",VLOOKUP($B27,List!$A$1:$U$374,5,FALSE))</f>
        <v>297</v>
      </c>
    </row>
    <row r="28" spans="1:28" ht="22.5" customHeight="1" x14ac:dyDescent="0.3">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An Unlikely Candidate</v>
      </c>
      <c r="P28" s="15" t="str">
        <f>VLOOKUP($O28,List!$A$1:$U$374,2,FALSE)</f>
        <v>Starting as Mzab, Touggourt or Djerid, reform Al-Andalus.</v>
      </c>
      <c r="Q28" s="16">
        <f>VLOOKUP($O28,List!$A$1:$U$374,3,FALSE)</f>
        <v>8.0000000000000002E-3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Mzab</v>
      </c>
      <c r="W28" s="14">
        <v>10</v>
      </c>
      <c r="X28" s="1" t="str" cm="1">
        <f t="array" ref="X28">INDEX(List!A:A,MATCH(LARGE(List!N:N,ROW(11:11)),List!N:N,0))</f>
        <v>Raja of the Rajput Reich</v>
      </c>
      <c r="Y28" s="15" t="str">
        <f>VLOOKUP($X28,List!$A$1:$U$374,2,FALSE)</f>
        <v>Conquer all of Germany as Nagaur.</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09375" defaultRowHeight="14.4" outlineLevelCol="1" x14ac:dyDescent="0.3"/>
  <cols>
    <col min="1" max="1" width="3" style="19" bestFit="1" customWidth="1"/>
    <col min="2" max="2" width="25.6640625" style="1" bestFit="1" customWidth="1"/>
    <col min="3" max="3" width="67.33203125" style="1" customWidth="1" outlineLevel="1"/>
    <col min="4" max="7" width="9.109375" style="1"/>
    <col min="8" max="8" width="11.109375" style="1" bestFit="1" customWidth="1"/>
    <col min="9" max="9" width="2.44140625" style="1" customWidth="1"/>
    <col min="10" max="10" width="3" style="19" bestFit="1" customWidth="1"/>
    <col min="11" max="11" width="25.6640625" style="1" bestFit="1" customWidth="1"/>
    <col min="12" max="12" width="67.33203125" style="1" customWidth="1" outlineLevel="1"/>
    <col min="13" max="16384" width="9.109375" style="1"/>
  </cols>
  <sheetData>
    <row r="1" spans="1:15" ht="15.6" x14ac:dyDescent="0.3">
      <c r="A1" s="86" t="s">
        <v>1658</v>
      </c>
      <c r="B1" s="86"/>
      <c r="C1" s="86"/>
      <c r="D1" s="86"/>
      <c r="E1" s="86"/>
      <c r="F1" s="86"/>
      <c r="G1" s="86"/>
      <c r="H1" s="86"/>
      <c r="J1" s="88" t="s">
        <v>1654</v>
      </c>
      <c r="K1" s="88"/>
      <c r="L1" s="88"/>
      <c r="M1" s="88"/>
      <c r="N1" s="88"/>
      <c r="O1" s="88"/>
    </row>
    <row r="2" spans="1:15" ht="26.4" x14ac:dyDescent="0.3">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3">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3">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3">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3">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3">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3">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3">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3">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3">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3">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6" x14ac:dyDescent="0.3">
      <c r="A14" s="87" t="s">
        <v>1659</v>
      </c>
      <c r="B14" s="87"/>
      <c r="C14" s="87"/>
      <c r="D14" s="87"/>
      <c r="E14" s="87"/>
      <c r="F14" s="87"/>
      <c r="G14" s="87"/>
      <c r="H14" s="87"/>
      <c r="J14" s="89" t="s">
        <v>1660</v>
      </c>
      <c r="K14" s="89"/>
      <c r="L14" s="89"/>
      <c r="M14" s="89"/>
      <c r="N14" s="89"/>
      <c r="O14" s="89"/>
    </row>
    <row r="15" spans="1:15" ht="26.4" x14ac:dyDescent="0.3">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3">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3">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3">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Luck of the Irish</v>
      </c>
      <c r="L18" s="2" t="str">
        <f>VLOOKUP($K18,List!$A$1:$U$374,2,FALSE)</f>
        <v>Own and have cores on the British Isles as an Irish nation.</v>
      </c>
      <c r="M18" s="3">
        <f>VLOOKUP($K18,List!$A$1:$U$374,3,FALSE)</f>
        <v>2.1000000000000001E-2</v>
      </c>
      <c r="N18" s="6" t="str">
        <f>VLOOKUP($K18,List!$A$1:$U$374,4,FALSE)</f>
        <v>H</v>
      </c>
      <c r="O18" s="26">
        <f>IF(VLOOKUP($K18,List!$A$1:$U$374,5,FALSE)="","",VLOOKUP($K18,List!$A$1:$U$374,5,FALSE))</f>
        <v>139.5</v>
      </c>
    </row>
    <row r="19" spans="1:15" ht="22.5" customHeight="1" x14ac:dyDescent="0.3">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A Hero’s Welcome</v>
      </c>
      <c r="L19" s="15" t="str">
        <f>VLOOKUP($K19,List!$A$1:$U$374,2,FALSE)</f>
        <v>Starting as Karaman, form the Sultanate of Rum.</v>
      </c>
      <c r="M19" s="16">
        <f>VLOOKUP($K19,List!$A$1:$U$374,3,FALSE)</f>
        <v>1.2999999999999999E-2</v>
      </c>
      <c r="N19" s="17" t="str">
        <f>VLOOKUP($K19,List!$A$1:$U$374,4,FALSE)</f>
        <v>H</v>
      </c>
      <c r="O19" s="25">
        <f>IF(VLOOKUP($K19,List!$A$1:$U$374,5,FALSE)="","",VLOOKUP($K19,List!$A$1:$U$374,5,FALSE))</f>
        <v>143.5</v>
      </c>
    </row>
    <row r="20" spans="1:15" ht="22.5" customHeight="1" x14ac:dyDescent="0.3">
      <c r="A20" s="19">
        <v>5</v>
      </c>
      <c r="B20" s="1" t="str" cm="1">
        <f t="array" ref="B20">INDEX(List!A:A,MATCH(LARGE(List!V:V,ROW(5:5)),List!V:V,0))</f>
        <v>Even Better than Piet Heyn</v>
      </c>
      <c r="C20" s="2" t="str">
        <f>VLOOKUP($B20,List!$A$1:$U$374,2,FALSE)</f>
        <v>Gain over 100 gold from privateering a single treasure fleet.</v>
      </c>
      <c r="D20" s="3">
        <f>VLOOKUP($B20,List!$A$1:$U$374,3,FALSE)</f>
        <v>2.3E-2</v>
      </c>
      <c r="E20" s="6" t="str">
        <f>VLOOKUP($B20,List!$A$1:$U$374,4,FALSE)</f>
        <v>M</v>
      </c>
      <c r="F20" s="26">
        <f>IF(VLOOKUP($B20,List!$A$1:$U$374,5,FALSE)="","",VLOOKUP($B20,List!$A$1:$U$374,5,FALSE))</f>
        <v>69.25</v>
      </c>
      <c r="G20" s="4" t="str">
        <f>IF(VLOOKUP($B20,List!$A$1:$U$374,15,FALSE)="","",VLOOKUP($B20,List!$A$1:$U$374,15,FALSE))</f>
        <v/>
      </c>
      <c r="H20" s="1" t="str">
        <f>IF(VLOOKUP($B20,List!$A$1:$U$374,16,FALSE)="","",VLOOKUP($B20,List!$A$1:$U$374,16,FALSE))</f>
        <v/>
      </c>
      <c r="J20" s="19">
        <v>5</v>
      </c>
      <c r="K20" s="1" t="str" cm="1">
        <f t="array" ref="K20">INDEX(List!A:A,MATCH(LARGE(List!W:W,ROW(5:5)),List!W:W,0))</f>
        <v>Lazarus</v>
      </c>
      <c r="L20" s="2" t="str">
        <f>VLOOKUP($K20,List!$A$1:$U$374,2,FALSE)</f>
        <v>As Serbia, own the entire Balkans as core provinces.</v>
      </c>
      <c r="M20" s="3">
        <f>VLOOKUP($K20,List!$A$1:$U$374,3,FALSE)</f>
        <v>1.2E-2</v>
      </c>
      <c r="N20" s="6" t="str">
        <f>VLOOKUP($K20,List!$A$1:$U$374,4,FALSE)</f>
        <v>H</v>
      </c>
      <c r="O20" s="26">
        <f>IF(VLOOKUP($K20,List!$A$1:$U$374,5,FALSE)="","",VLOOKUP($K20,List!$A$1:$U$374,5,FALSE))</f>
        <v>144</v>
      </c>
    </row>
    <row r="21" spans="1:15" ht="22.5" customHeight="1" x14ac:dyDescent="0.3">
      <c r="A21" s="20">
        <v>6</v>
      </c>
      <c r="B21" s="14" t="str" cm="1">
        <f t="array" ref="B21">INDEX(List!A:A,MATCH(LARGE(List!V:V,ROW(6:6)),List!V:V,0))</f>
        <v>Spice Girls</v>
      </c>
      <c r="C21" s="15" t="str">
        <f>VLOOKUP($B21,List!$A$1:$U$374,2,FALSE)</f>
        <v>Having a female ruler, have active trading bonuses for Cloves, Spices, 
Salt and Sugar.</v>
      </c>
      <c r="D21" s="16">
        <f>VLOOKUP($B21,List!$A$1:$U$374,3,FALSE)</f>
        <v>0.02</v>
      </c>
      <c r="E21" s="17" t="str">
        <f>VLOOKUP($B21,List!$A$1:$U$374,4,FALSE)</f>
        <v>M</v>
      </c>
      <c r="F21" s="25">
        <f>IF(VLOOKUP($B21,List!$A$1:$U$374,5,FALSE)="","",VLOOKUP($B21,List!$A$1:$U$374,5,FALSE))</f>
        <v>70</v>
      </c>
      <c r="G21" s="18" t="str">
        <f>IF(VLOOKUP($B21,List!$A$1:$U$374,15,FALSE)="","",VLOOKUP($B21,List!$A$1:$U$374,15,FALSE))</f>
        <v/>
      </c>
      <c r="H21" s="14" t="str">
        <f>IF(VLOOKUP($B21,List!$A$1:$U$374,16,FALSE)="","",VLOOKUP($B21,List!$A$1:$U$374,16,FALSE))</f>
        <v/>
      </c>
      <c r="J21" s="20">
        <v>6</v>
      </c>
      <c r="K21" s="14" t="str" cm="1">
        <f t="array" ref="K21">INDEX(List!A:A,MATCH(LARGE(List!W:W,ROW(6:6)),List!W:W,0))</f>
        <v>Rise of the White Sheep</v>
      </c>
      <c r="L21" s="15" t="str">
        <f>VLOOKUP($K21,List!$A$1:$U$374,2,FALSE)</f>
        <v>As Aq Qoyunlu, own Tabriz and have Qara Qoyunlu not exist by 1478.</v>
      </c>
      <c r="M21" s="16">
        <f>VLOOKUP($K21,List!$A$1:$U$374,3,FALSE)</f>
        <v>1.2E-2</v>
      </c>
      <c r="N21" s="17" t="str">
        <f>VLOOKUP($K21,List!$A$1:$U$374,4,FALSE)</f>
        <v>H</v>
      </c>
      <c r="O21" s="25">
        <f>IF(VLOOKUP($K21,List!$A$1:$U$374,5,FALSE)="","",VLOOKUP($K21,List!$A$1:$U$374,5,FALSE))</f>
        <v>144</v>
      </c>
    </row>
    <row r="22" spans="1:15" ht="22.5" customHeight="1" x14ac:dyDescent="0.3">
      <c r="A22" s="19">
        <v>7</v>
      </c>
      <c r="B22" s="1" t="str" cm="1">
        <f t="array" ref="B22">INDEX(List!A:A,MATCH(LARGE(List!V:V,ROW(7:7)),List!V:V,0))</f>
        <v>Sweet Home Qaraqorum</v>
      </c>
      <c r="C22" s="2" t="str">
        <f>VLOOKUP($B22,List!$A$1:$U$374,2,FALSE)</f>
        <v>As the Mughals assimilate Mongolian culture.</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Choson One</v>
      </c>
      <c r="L22" s="2" t="str">
        <f>VLOOKUP($K22,List!$A$1:$U$374,2,FALSE)</f>
        <v>As Korea, own or have a subject own all Shinto, Confucian and Buddhist 
provinces in the world.</v>
      </c>
      <c r="M22" s="3">
        <f>VLOOKUP($K22,List!$A$1:$U$374,3,FALSE)</f>
        <v>1.0999999999999999E-2</v>
      </c>
      <c r="N22" s="6" t="str">
        <f>VLOOKUP($K22,List!$A$1:$U$374,4,FALSE)</f>
        <v>H</v>
      </c>
      <c r="O22" s="26">
        <f>IF(VLOOKUP($K22,List!$A$1:$U$374,5,FALSE)="","",VLOOKUP($K22,List!$A$1:$U$374,5,FALSE))</f>
        <v>144.5</v>
      </c>
    </row>
    <row r="23" spans="1:15" ht="22.5" customHeight="1" x14ac:dyDescent="0.3">
      <c r="A23" s="20">
        <v>8</v>
      </c>
      <c r="B23" s="14" t="str" cm="1">
        <f t="array" ref="B23">INDEX(List!A:A,MATCH(LARGE(List!V:V,ROW(8:8)),List!V:V,0))</f>
        <v>The Uncommonwealth</v>
      </c>
      <c r="C23" s="15" t="str">
        <f>VLOOKUP($B23,List!$A$1:$U$374,2,FALSE)</f>
        <v>As Lithuania, become The Commonwealth.</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Lucky Lucca</v>
      </c>
      <c r="L23" s="15" t="str">
        <f>VLOOKUP($K23,List!$A$1:$U$374,2,FALSE)</f>
        <v>As Lucca, own Lucknow!</v>
      </c>
      <c r="M23" s="16">
        <f>VLOOKUP($K23,List!$A$1:$U$374,3,FALSE)</f>
        <v>8.9999999999999993E-3</v>
      </c>
      <c r="N23" s="17" t="str">
        <f>VLOOKUP($K23,List!$A$1:$U$374,4,FALSE)</f>
        <v>H</v>
      </c>
      <c r="O23" s="25">
        <f>IF(VLOOKUP($K23,List!$A$1:$U$374,5,FALSE)="","",VLOOKUP($K23,List!$A$1:$U$374,5,FALSE))</f>
        <v>145.5</v>
      </c>
    </row>
    <row r="24" spans="1:15" ht="22.5" customHeight="1" x14ac:dyDescent="0.3">
      <c r="A24" s="19">
        <v>9</v>
      </c>
      <c r="B24" s="1" t="str" cm="1">
        <f t="array" ref="B24">INDEX(List!A:A,MATCH(LARGE(List!V:V,ROW(9:9)),List!V:V,0))</f>
        <v>Bengal Tiger</v>
      </c>
      <c r="C24" s="2" t="str">
        <f>VLOOKUP($B24,List!$A$1:$U$374,2,FALSE)</f>
        <v>Start as Bengal and own Samarkand as a core province.</v>
      </c>
      <c r="D24" s="3">
        <f>VLOOKUP($B24,List!$A$1:$U$374,3,FALSE)</f>
        <v>1.4999999999999999E-2</v>
      </c>
      <c r="E24" s="6" t="str">
        <f>VLOOKUP($B24,List!$A$1:$U$374,4,FALSE)</f>
        <v>M</v>
      </c>
      <c r="F24" s="26">
        <f>IF(VLOOKUP($B24,List!$A$1:$U$374,5,FALSE)="","",VLOOKUP($B24,List!$A$1:$U$374,5,FALSE))</f>
        <v>71.25</v>
      </c>
      <c r="G24" s="4" t="str">
        <f>IF(VLOOKUP($B24,List!$A$1:$U$374,15,FALSE)="","",VLOOKUP($B24,List!$A$1:$U$374,15,FALSE))</f>
        <v/>
      </c>
      <c r="H24" s="1" t="str">
        <f>IF(VLOOKUP($B24,List!$A$1:$U$374,16,FALSE)="","",VLOOKUP($B24,List!$A$1:$U$374,16,FALSE))</f>
        <v/>
      </c>
      <c r="J24" s="19">
        <v>9</v>
      </c>
      <c r="K24" s="1" t="str" cm="1">
        <f t="array" ref="K24">INDEX(List!A:A,MATCH(LARGE(List!W:W,ROW(9:9)),List!W:W,0))</f>
        <v>Meissner Porcelain</v>
      </c>
      <c r="L24" s="2" t="str">
        <f>VLOOKUP($K24,List!$A$1:$U$374,2,FALSE)</f>
        <v>As Saxony, own or have a subject own all Chinaware provinces in the world.</v>
      </c>
      <c r="M24" s="3">
        <f>VLOOKUP($K24,List!$A$1:$U$374,3,FALSE)</f>
        <v>8.0000000000000002E-3</v>
      </c>
      <c r="N24" s="6" t="str">
        <f>VLOOKUP($K24,List!$A$1:$U$374,4,FALSE)</f>
        <v>H</v>
      </c>
      <c r="O24" s="26">
        <f>IF(VLOOKUP($K24,List!$A$1:$U$374,5,FALSE)="","",VLOOKUP($K24,List!$A$1:$U$374,5,FALSE))</f>
        <v>146</v>
      </c>
    </row>
    <row r="25" spans="1:15" ht="22.5" customHeight="1" x14ac:dyDescent="0.3">
      <c r="A25" s="20">
        <v>10</v>
      </c>
      <c r="B25" s="14" t="str" cm="1">
        <f t="array" ref="B25">INDEX(List!A:A,MATCH(LARGE(List!V:V,ROW(10:10)),List!V:V,0))</f>
        <v>Sons of Carthage</v>
      </c>
      <c r="C25" s="15" t="str">
        <f>VLOOKUP($B25,List!$A$1:$U$374,2,FALSE)</f>
        <v>As Tunisia, own and have cores on Sicily, Sardinia, the Balearic Islands, 
the coast of Algiers and the southern coast of Spain.</v>
      </c>
      <c r="D25" s="16">
        <f>VLOOKUP($B25,List!$A$1:$U$374,3,FALSE)</f>
        <v>1.4E-2</v>
      </c>
      <c r="E25" s="17" t="str">
        <f>VLOOKUP($B25,List!$A$1:$U$374,4,FALSE)</f>
        <v>M</v>
      </c>
      <c r="F25" s="25">
        <f>IF(VLOOKUP($B25,List!$A$1:$U$374,5,FALSE)="","",VLOOKUP($B25,List!$A$1:$U$374,5,FALSE))</f>
        <v>71.5</v>
      </c>
      <c r="G25" s="18" t="str">
        <f>IF(VLOOKUP($B25,List!$A$1:$U$374,15,FALSE)="","",VLOOKUP($B25,List!$A$1:$U$374,15,FALSE))</f>
        <v/>
      </c>
      <c r="H25" s="14" t="str">
        <f>IF(VLOOKUP($B25,List!$A$1:$U$374,16,FALSE)="","",VLOOKUP($B25,List!$A$1:$U$374,16,FALSE))</f>
        <v/>
      </c>
      <c r="J25" s="20">
        <v>10</v>
      </c>
      <c r="K25" s="14" t="str" cm="1">
        <f t="array" ref="K25">INDEX(List!A:A,MATCH(LARGE(List!W:W,ROW(10:10)),List!W:W,0))</f>
        <v>Philippine Tiger</v>
      </c>
      <c r="L25" s="15" t="str">
        <f>VLOOKUP($K25,List!$A$1:$U$374,2,FALSE)</f>
        <v>As Cebu, recreate the Chola Empire.</v>
      </c>
      <c r="M25" s="16">
        <f>VLOOKUP($K25,List!$A$1:$U$374,3,FALSE)</f>
        <v>8.0000000000000002E-3</v>
      </c>
      <c r="N25" s="17" t="str">
        <f>VLOOKUP($K25,List!$A$1:$U$374,4,FALSE)</f>
        <v>H</v>
      </c>
      <c r="O25" s="25">
        <f>IF(VLOOKUP($K25,List!$A$1:$U$374,5,FALSE)="","",VLOOKUP($K25,List!$A$1:$U$374,5,FALSE))</f>
        <v>146</v>
      </c>
    </row>
    <row r="27" spans="1:15" ht="15.6" x14ac:dyDescent="0.3">
      <c r="A27" s="85" t="s">
        <v>1673</v>
      </c>
      <c r="B27" s="85"/>
      <c r="C27" s="85"/>
      <c r="D27" s="85"/>
      <c r="E27" s="85"/>
      <c r="F27" s="85"/>
      <c r="G27" s="85"/>
      <c r="H27" s="85"/>
    </row>
    <row r="28" spans="1:15" ht="26.4" x14ac:dyDescent="0.3">
      <c r="A28" s="11" t="s">
        <v>1640</v>
      </c>
      <c r="B28" s="11" t="s">
        <v>634</v>
      </c>
      <c r="C28" s="11" t="s">
        <v>635</v>
      </c>
      <c r="D28" s="11" t="s">
        <v>637</v>
      </c>
      <c r="E28" s="11" t="s">
        <v>636</v>
      </c>
      <c r="F28" s="11" t="s">
        <v>1668</v>
      </c>
      <c r="G28" s="11" t="s">
        <v>754</v>
      </c>
      <c r="H28" s="11" t="s">
        <v>758</v>
      </c>
    </row>
    <row r="29" spans="1:15" ht="22.5" customHeight="1" x14ac:dyDescent="0.3">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3">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3">
      <c r="A31" s="19">
        <v>3</v>
      </c>
      <c r="B31" s="1" t="str" cm="1">
        <f t="array" ref="B31">INDEX(List!A:A,MATCH(LARGE(List!X:X,ROW(3:3)),List!X:X,0))</f>
        <v>Krabater</v>
      </c>
      <c r="C31" s="2" t="str">
        <f>VLOOKUP($B31,List!$A$1:$U$374,2,FALSE)</f>
        <v>Form the nation of Croatia and station a unit of cavalry in Stockholm.</v>
      </c>
      <c r="D31" s="3">
        <f>VLOOKUP($B31,List!$A$1:$U$374,3,FALSE)</f>
        <v>1.7999999999999999E-2</v>
      </c>
      <c r="E31" s="6" t="str">
        <f>VLOOKUP($B31,List!$A$1:$U$374,4,FALSE)</f>
        <v>VE</v>
      </c>
      <c r="F31" s="26">
        <f>IF(VLOOKUP($B31,List!$A$1:$U$374,5,FALSE)="","",VLOOKUP($B31,List!$A$1:$U$374,5,FALSE))</f>
        <v>14.1</v>
      </c>
      <c r="G31" s="4" t="str">
        <f>IF(VLOOKUP($B31,List!$A$1:$U$374,15,FALSE)="","",VLOOKUP($B31,List!$A$1:$U$374,15,FALSE))</f>
        <v/>
      </c>
      <c r="H31" s="1" t="str">
        <f>IF(VLOOKUP($B31,List!$A$1:$U$374,16,FALSE)="","",VLOOKUP($B31,List!$A$1:$U$374,16,FALSE))</f>
        <v/>
      </c>
    </row>
    <row r="32" spans="1:15" ht="22.5" customHeight="1" x14ac:dyDescent="0.3">
      <c r="A32" s="20">
        <v>4</v>
      </c>
      <c r="B32" s="14" t="str" cm="1">
        <f t="array" ref="B32">INDEX(List!A:A,MATCH(LARGE(List!X:X,ROW(4:4)),List!X:X,0))</f>
        <v>The Six Nations</v>
      </c>
      <c r="C32" s="15" t="str">
        <f>VLOOKUP($B32,List!$A$1:$U$374,2,FALSE)</f>
        <v>Form a Federation of at least six nations as the Iroquois.</v>
      </c>
      <c r="D32" s="16">
        <f>VLOOKUP($B32,List!$A$1:$U$374,3,FALSE)</f>
        <v>1.7000000000000001E-2</v>
      </c>
      <c r="E32" s="17" t="str">
        <f>VLOOKUP($B32,List!$A$1:$U$374,4,FALSE)</f>
        <v>VE</v>
      </c>
      <c r="F32" s="25">
        <f>IF(VLOOKUP($B32,List!$A$1:$U$374,5,FALSE)="","",VLOOKUP($B32,List!$A$1:$U$374,5,FALSE))</f>
        <v>14.15</v>
      </c>
      <c r="G32" s="18" t="str">
        <f>IF(VLOOKUP($B32,List!$A$1:$U$374,15,FALSE)="","",VLOOKUP($B32,List!$A$1:$U$374,15,FALSE))</f>
        <v/>
      </c>
      <c r="H32" s="14" t="str">
        <f>IF(VLOOKUP($B32,List!$A$1:$U$374,16,FALSE)="","",VLOOKUP($B32,List!$A$1:$U$374,16,FALSE))</f>
        <v/>
      </c>
    </row>
    <row r="33" spans="1:8" ht="22.5" customHeight="1" x14ac:dyDescent="0.3">
      <c r="A33" s="19">
        <v>5</v>
      </c>
      <c r="B33" s="1" t="str" cm="1">
        <f t="array" ref="B33">INDEX(List!A:A,MATCH(LARGE(List!X:X,ROW(5:5)),List!X:X,0))</f>
        <v>From Humble Origins</v>
      </c>
      <c r="C33" s="2" t="str">
        <f>VLOOKUP($B33,List!$A$1:$U$374,2,FALSE)</f>
        <v>Starting as a custom nation with no more than 50 points, have at least 
2000 total development.</v>
      </c>
      <c r="D33" s="3">
        <f>VLOOKUP($B33,List!$A$1:$U$374,3,FALSE)</f>
        <v>1.2999999999999999E-2</v>
      </c>
      <c r="E33" s="6" t="str">
        <f>VLOOKUP($B33,List!$A$1:$U$374,4,FALSE)</f>
        <v>VE</v>
      </c>
      <c r="F33" s="26">
        <f>IF(VLOOKUP($B33,List!$A$1:$U$374,5,FALSE)="","",VLOOKUP($B33,List!$A$1:$U$374,5,FALSE))</f>
        <v>14.35</v>
      </c>
      <c r="G33" s="4" t="str">
        <f>IF(VLOOKUP($B33,List!$A$1:$U$374,15,FALSE)="","",VLOOKUP($B33,List!$A$1:$U$374,15,FALSE))</f>
        <v/>
      </c>
      <c r="H33" s="1" t="str">
        <f>IF(VLOOKUP($B33,List!$A$1:$U$374,16,FALSE)="","",VLOOKUP($B33,List!$A$1:$U$374,16,FALSE))</f>
        <v/>
      </c>
    </row>
    <row r="34" spans="1:8" ht="22.5" customHeight="1" x14ac:dyDescent="0.3">
      <c r="A34" s="20">
        <v>6</v>
      </c>
      <c r="B34" s="14" t="str" cm="1">
        <f t="array" ref="B34">INDEX(List!A:A,MATCH(LARGE(List!X:X,ROW(6:6)),List!X:X,0))</f>
        <v>David the Builder</v>
      </c>
      <c r="C34" s="15" t="str">
        <f>VLOOKUP($B34,List!$A$1:$U$374,2,FALSE)</f>
        <v>As Georgia have no free building slots in any owned province.</v>
      </c>
      <c r="D34" s="16">
        <f>VLOOKUP($B34,List!$A$1:$U$374,3,FALSE)</f>
        <v>1.2E-2</v>
      </c>
      <c r="E34" s="17" t="str">
        <f>VLOOKUP($B34,List!$A$1:$U$374,4,FALSE)</f>
        <v>VE</v>
      </c>
      <c r="F34" s="25">
        <f>IF(VLOOKUP($B34,List!$A$1:$U$374,5,FALSE)="","",VLOOKUP($B34,List!$A$1:$U$374,5,FALSE))</f>
        <v>14.4</v>
      </c>
      <c r="G34" s="18" t="str">
        <f>IF(VLOOKUP($B34,List!$A$1:$U$374,15,FALSE)="","",VLOOKUP($B34,List!$A$1:$U$374,15,FALSE))</f>
        <v/>
      </c>
      <c r="H34" s="14" t="str">
        <f>IF(VLOOKUP($B34,List!$A$1:$U$374,16,FALSE)="","",VLOOKUP($B34,List!$A$1:$U$374,16,FALSE))</f>
        <v/>
      </c>
    </row>
    <row r="35" spans="1:8" ht="22.5" customHeight="1" x14ac:dyDescent="0.3">
      <c r="A35" s="19">
        <v>7</v>
      </c>
      <c r="B35" s="1" t="str" cm="1">
        <f t="array" ref="B35">INDEX(List!A:A,MATCH(LARGE(List!X:X,ROW(7:7)),List!X:X,0))</f>
        <v>Sakoku Law</v>
      </c>
      <c r="C35" s="2" t="str">
        <f>VLOOKUP($B35,List!$A$1:$U$374,2,FALSE)</f>
        <v>Go full isolationist in 6 Incidents.</v>
      </c>
      <c r="D35" s="3">
        <f>VLOOKUP($B35,List!$A$1:$U$374,3,FALSE)</f>
        <v>0.01</v>
      </c>
      <c r="E35" s="6" t="str">
        <f>VLOOKUP($B35,List!$A$1:$U$374,4,FALSE)</f>
        <v>VE</v>
      </c>
      <c r="F35" s="26">
        <f>IF(VLOOKUP($B35,List!$A$1:$U$374,5,FALSE)="","",VLOOKUP($B35,List!$A$1:$U$374,5,FALSE))</f>
        <v>14.5</v>
      </c>
      <c r="G35" s="4" t="str">
        <f>IF(VLOOKUP($B35,List!$A$1:$U$374,15,FALSE)="","",VLOOKUP($B35,List!$A$1:$U$374,15,FALSE))</f>
        <v/>
      </c>
      <c r="H35" s="1" t="str">
        <f>IF(VLOOKUP($B35,List!$A$1:$U$374,16,FALSE)="","",VLOOKUP($B35,List!$A$1:$U$374,16,FALSE))</f>
        <v/>
      </c>
    </row>
    <row r="36" spans="1:8" ht="22.5" customHeight="1" x14ac:dyDescent="0.3">
      <c r="A36" s="20">
        <v>8</v>
      </c>
      <c r="B36" s="14" t="str" cm="1">
        <f t="array" ref="B36">INDEX(List!A:A,MATCH(LARGE(List!X:X,ROW(8:8)),List!X:X,0))</f>
        <v>Truly Good Maaaaa-tch</v>
      </c>
      <c r="C36" s="15" t="str">
        <f>VLOOKUP($B36,List!$A$1:$U$374,2,FALSE)</f>
        <v>Starting as either Aq Qoyunlu or Qara Qoyunlu, have a royal marriage and 
an alliance with Ramazan.</v>
      </c>
      <c r="D36" s="16">
        <f>VLOOKUP($B36,List!$A$1:$U$374,3,FALSE)</f>
        <v>7.0000000000000001E-3</v>
      </c>
      <c r="E36" s="17" t="str">
        <f>VLOOKUP($B36,List!$A$1:$U$374,4,FALSE)</f>
        <v>VE</v>
      </c>
      <c r="F36" s="25">
        <f>IF(VLOOKUP($B36,List!$A$1:$U$374,5,FALSE)="","",VLOOKUP($B36,List!$A$1:$U$374,5,FALSE))</f>
        <v>14.65</v>
      </c>
      <c r="G36" s="18" t="str">
        <f>IF(VLOOKUP($B36,List!$A$1:$U$374,15,FALSE)="","",VLOOKUP($B36,List!$A$1:$U$374,15,FALSE))</f>
        <v/>
      </c>
      <c r="H36" s="14" t="str">
        <f>IF(VLOOKUP($B36,List!$A$1:$U$374,16,FALSE)="","",VLOOKUP($B36,List!$A$1:$U$374,16,FALSE))</f>
        <v/>
      </c>
    </row>
    <row r="37" spans="1:8" ht="22.5" customHeight="1" x14ac:dyDescent="0.3">
      <c r="A37" s="19">
        <v>9</v>
      </c>
      <c r="B37" s="1" t="str" cm="1">
        <f t="array" ref="B37">INDEX(List!A:A,MATCH(LARGE(List!X:X,ROW(9:9)),List!X:X,0))</f>
        <v>Imposter Syndrome</v>
      </c>
      <c r="C37" s="2" t="str">
        <f>VLOOKUP($B37,List!$A$1:$U$374,2,FALSE)</f>
        <v>As Sus, have three countries hostile to you (less than 0 opinion) after 
they discovered your spy.</v>
      </c>
      <c r="D37" s="3">
        <f>VLOOKUP($B37,List!$A$1:$U$374,3,FALSE)</f>
        <v>6.0000000000000001E-3</v>
      </c>
      <c r="E37" s="6" t="str">
        <f>VLOOKUP($B37,List!$A$1:$U$374,4,FALSE)</f>
        <v>VE</v>
      </c>
      <c r="F37" s="26">
        <f>IF(VLOOKUP($B37,List!$A$1:$U$374,5,FALSE)="","",VLOOKUP($B37,List!$A$1:$U$374,5,FALSE))</f>
        <v>14.7</v>
      </c>
      <c r="G37" s="4" t="str">
        <f>IF(VLOOKUP($B37,List!$A$1:$U$374,15,FALSE)="","",VLOOKUP($B37,List!$A$1:$U$374,15,FALSE))</f>
        <v/>
      </c>
      <c r="H37" s="1" t="str">
        <f>IF(VLOOKUP($B37,List!$A$1:$U$374,16,FALSE)="","",VLOOKUP($B37,List!$A$1:$U$374,16,FALSE))</f>
        <v/>
      </c>
    </row>
    <row r="38" spans="1:8" ht="22.5" customHeight="1" x14ac:dyDescent="0.3">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2026-09-28T07:57:13Z</dcterms:modified>
</cp:coreProperties>
</file>